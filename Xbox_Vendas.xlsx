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\Python_Dados_ExcelXbox\"/>
    </mc:Choice>
  </mc:AlternateContent>
  <bookViews>
    <workbookView xWindow="0" yWindow="0" windowWidth="28800" windowHeight="1233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3" l="1"/>
  <c r="E76" i="3"/>
  <c r="E90" i="3"/>
</calcChain>
</file>

<file path=xl/sharedStrings.xml><?xml version="1.0" encoding="utf-8"?>
<sst xmlns="http://schemas.openxmlformats.org/spreadsheetml/2006/main" count="2029" uniqueCount="325">
  <si>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</si>
  <si>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</si>
  <si>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</si>
  <si>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</si>
  <si>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</si>
  <si>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</si>
  <si>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</si>
  <si>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</si>
  <si>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</si>
  <si>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</si>
  <si>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</si>
  <si>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</si>
  <si>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</si>
  <si>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</si>
  <si>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</si>
  <si>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</si>
  <si>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</si>
  <si>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</si>
  <si>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</si>
  <si>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</si>
  <si>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</si>
  <si>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</si>
  <si>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</si>
  <si>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</si>
  <si>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</si>
  <si>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</si>
  <si>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</si>
  <si>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</si>
  <si>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</si>
  <si>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</si>
  <si>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</si>
  <si>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</si>
  <si>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</si>
  <si>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</si>
  <si>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</si>
  <si>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</si>
  <si>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</si>
  <si>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</si>
  <si>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</si>
  <si>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</si>
  <si>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</si>
  <si>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</si>
  <si>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</si>
  <si>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</si>
  <si>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</si>
  <si>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</si>
  <si>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</si>
  <si>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</si>
  <si>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</si>
  <si>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</si>
  <si>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</si>
  <si>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</si>
  <si>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</si>
  <si>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</si>
  <si>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</si>
  <si>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</si>
  <si>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</si>
  <si>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</si>
  <si>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</si>
  <si>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</si>
  <si>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</si>
  <si>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</si>
  <si>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</si>
  <si>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</si>
  <si>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</si>
  <si>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</si>
  <si>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</si>
  <si>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</si>
  <si>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</si>
  <si>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</si>
  <si>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</si>
  <si>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</si>
  <si>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</si>
  <si>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</si>
  <si>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</si>
  <si>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</si>
  <si>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</si>
  <si>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</si>
  <si>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</si>
  <si>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</si>
  <si>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</si>
  <si>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</si>
  <si>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</si>
  <si>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</si>
  <si>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</si>
  <si>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</si>
  <si>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</si>
  <si>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</si>
  <si>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</si>
  <si>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</si>
  <si>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</si>
  <si>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</si>
  <si>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</si>
  <si>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</si>
  <si>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</si>
  <si>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</si>
  <si>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</si>
  <si>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</si>
  <si>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</si>
  <si>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</si>
  <si>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</si>
  <si>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</si>
  <si>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</si>
  <si>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</si>
  <si>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</si>
  <si>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</si>
  <si>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</si>
  <si>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</si>
  <si>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</si>
  <si>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</si>
  <si>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</si>
  <si>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</si>
  <si>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</si>
  <si>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</si>
  <si>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</si>
  <si>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</si>
  <si>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</si>
  <si>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</si>
  <si>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</si>
  <si>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</si>
  <si>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</si>
  <si>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</si>
  <si>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</si>
  <si>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</si>
  <si>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</si>
  <si>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</si>
  <si>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</si>
  <si>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</si>
  <si>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</si>
  <si>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</si>
  <si>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</si>
  <si>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</si>
  <si>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</si>
  <si>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</si>
  <si>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</si>
  <si>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</si>
  <si>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</si>
  <si>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</si>
  <si>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</si>
  <si>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</si>
  <si>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</si>
  <si>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</si>
  <si>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</si>
  <si>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</si>
  <si>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</si>
  <si>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</si>
  <si>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</si>
  <si>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</si>
  <si>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</si>
  <si>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</si>
  <si>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</si>
  <si>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</si>
  <si>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</si>
  <si>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</si>
  <si>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</si>
  <si>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</si>
  <si>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</si>
  <si>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</si>
  <si>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</si>
  <si>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</si>
  <si>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</si>
  <si>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</si>
  <si>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</si>
  <si>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</si>
  <si>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</si>
  <si>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</si>
  <si>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</si>
  <si>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</si>
  <si>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</si>
  <si>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</si>
  <si>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</si>
  <si>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</si>
  <si>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</si>
  <si>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</si>
  <si>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</si>
  <si>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</si>
  <si>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</si>
  <si>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</si>
  <si>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</si>
  <si>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</si>
  <si>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</si>
  <si>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</si>
  <si>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</si>
  <si>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</si>
  <si>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</si>
  <si>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</si>
  <si>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</si>
  <si>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</si>
  <si>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</si>
  <si>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</si>
  <si>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</si>
  <si>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</si>
  <si>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</si>
  <si>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</si>
  <si>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</si>
  <si>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</si>
  <si>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</si>
  <si>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</si>
  <si>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</si>
  <si>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</si>
  <si>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</si>
  <si>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</si>
  <si>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</si>
  <si>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</si>
  <si>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</si>
  <si>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</si>
  <si>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</si>
  <si>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</si>
  <si>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</si>
  <si>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</si>
  <si>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</si>
  <si>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</si>
  <si>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</si>
  <si>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</si>
  <si>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</si>
  <si>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</si>
  <si>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</si>
  <si>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</si>
  <si>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</si>
  <si>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</si>
  <si>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</si>
  <si>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</si>
  <si>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</si>
  <si>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</si>
  <si>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</si>
  <si>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</si>
  <si>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</si>
  <si>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</si>
  <si>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</si>
  <si>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</si>
  <si>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</si>
  <si>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</si>
  <si>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</si>
  <si>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</si>
  <si>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</si>
  <si>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</si>
  <si>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</si>
  <si>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</si>
  <si>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</si>
  <si>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</si>
  <si>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</si>
  <si>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</si>
  <si>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</si>
  <si>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</si>
  <si>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</si>
  <si>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</si>
  <si>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</si>
  <si>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</si>
  <si>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</si>
  <si>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</si>
  <si>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</si>
  <si>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</si>
  <si>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</si>
  <si>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</si>
  <si>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</si>
  <si>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</si>
  <si>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</si>
  <si>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</si>
  <si>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</si>
  <si>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</si>
  <si>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</si>
  <si>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</si>
  <si>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</si>
  <si>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</si>
  <si>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</si>
  <si>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</si>
  <si>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</si>
  <si>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</si>
  <si>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</si>
  <si>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</si>
  <si>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</si>
  <si>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</si>
  <si>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</si>
  <si>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</si>
  <si>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</si>
  <si>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</si>
  <si>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</si>
  <si>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</si>
  <si>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</si>
  <si>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</si>
  <si>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</si>
  <si>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</si>
  <si>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</si>
  <si>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</si>
  <si>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</si>
  <si>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</si>
  <si>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</si>
  <si>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</si>
  <si>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</si>
  <si>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</si>
  <si>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</si>
  <si>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</si>
  <si>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</si>
  <si>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</si>
  <si>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</si>
  <si>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</si>
  <si>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</si>
  <si>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</si>
  <si>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</si>
  <si>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</si>
  <si>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</si>
  <si>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</si>
  <si>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</si>
  <si>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</si>
  <si>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</si>
  <si>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</si>
  <si>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</si>
  <si>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</si>
  <si>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</si>
  <si>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</si>
  <si>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</si>
  <si>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</si>
  <si>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</si>
  <si>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</si>
  <si>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</si>
  <si>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Plan</t>
  </si>
  <si>
    <t>(Tudo)</t>
  </si>
  <si>
    <t>Soma de Minecraft Season Pass Price</t>
  </si>
  <si>
    <t>Contagem de EA Play Season Pass
Price</t>
  </si>
  <si>
    <t>Xbox Game Pass Subscription Sales Dashboard</t>
  </si>
  <si>
    <r>
      <rPr>
        <b/>
        <sz val="18"/>
        <color theme="1" tint="0.34998626667073579"/>
        <rFont val="Segoe UI"/>
        <family val="2"/>
      </rPr>
      <t>Last update</t>
    </r>
    <r>
      <rPr>
        <sz val="18"/>
        <color theme="1" tint="0.34998626667073579"/>
        <rFont val="Segoe UI"/>
        <family val="2"/>
      </rPr>
      <t>: 14/01/2026 - 12:05</t>
    </r>
  </si>
  <si>
    <t>Total amount to be paid</t>
  </si>
  <si>
    <t>Discounted amount</t>
  </si>
  <si>
    <t>Total revenue</t>
  </si>
  <si>
    <t>Revenue from Minecraft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</si>
</sst>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4"/>
      <color rgb="FF22C55E"/>
      <name val="Segoe UI"/>
      <family val="2"/>
    </font>
    <font>
      <sz val="11"/>
      <color rgb="FF22C55E"/>
      <name val="Aptos Narrow"/>
      <family val="2"/>
      <scheme val="minor"/>
    </font>
    <font>
      <sz val="18"/>
      <color theme="1" tint="0.34998626667073579"/>
      <name val="Segoe UI"/>
      <family val="2"/>
    </font>
    <font>
      <b/>
      <sz val="18"/>
      <color theme="1" tint="0.3499862666707357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8" borderId="0" xfId="0" applyFill="1"/>
    <xf numFmtId="0" fontId="5" fillId="8" borderId="3" xfId="3" applyFont="1" applyFill="1" applyBorder="1" applyAlignment="1">
      <alignment horizontal="left" indent="1"/>
    </xf>
    <xf numFmtId="0" fontId="4" fillId="8" borderId="3" xfId="3" applyFill="1" applyBorder="1"/>
    <xf numFmtId="0" fontId="0" fillId="7" borderId="0" xfId="0" applyFill="1" applyAlignment="1">
      <alignment horizontal="left" indent="1"/>
    </xf>
    <xf numFmtId="0" fontId="6" fillId="7" borderId="0" xfId="0" applyFont="1" applyFill="1"/>
    <xf numFmtId="0" fontId="0" fillId="8" borderId="3" xfId="0" applyFill="1" applyBorder="1"/>
    <xf numFmtId="164" fontId="0" fillId="0" borderId="0" xfId="0" applyNumberFormat="1"/>
    <xf numFmtId="0" fontId="7" fillId="7" borderId="0" xfId="0" applyFont="1" applyFill="1" applyAlignment="1">
      <alignment horizontal="left" indent="1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6"/>
        <color theme="1"/>
        <name val="Segoe UI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Filtro de Busca" pivot="0" table="0" count="10">
      <tableStyleElement type="wholeTable" dxfId="15"/>
      <tableStyleElement type="headerRow" dxfId="14"/>
    </tableStyle>
  </tableStyles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sz val="14"/>
            <color rgb="FF000000"/>
            <name val="Segoe UI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000000"/>
            <name val="Segoe UI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000000"/>
            <name val="Segoe UI"/>
            <scheme val="none"/>
          </font>
          <fill>
            <patternFill patternType="solid">
              <fgColor auto="1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000000"/>
            <name val="Segoe UI"/>
            <scheme val="none"/>
          </font>
          <fill>
            <patternFill patternType="solid">
              <fgColor auto="1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828282"/>
            <name val="Segoe UI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4"/>
            <color rgb="FF000000"/>
            <name val="Segoe UI"/>
          </font>
          <fill>
            <patternFill patternType="solid">
              <fgColor theme="6" tint="0.59999389629810485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828282"/>
            <name val="Segoe UI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4"/>
            <color rgb="FF000000"/>
            <name val="Segoe UI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Filtro de Busc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[Xbox_Vendas.xlsx]C̳álculos!Tabela dinâmica1</c:name>
    <c:fmtId val="0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948553325951282E-2"/>
          <c:y val="0.11965811965811966"/>
          <c:w val="0.88239052827026099"/>
          <c:h val="0.79068376068376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CC-496A-BC7F-CDD0F17B41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C̳álculos!$C$6:$C$9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C-496A-BC7F-CDD0F17B4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4073152"/>
        <c:axId val="1934066496"/>
      </c:barChart>
      <c:catAx>
        <c:axId val="19340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066496"/>
        <c:crosses val="autoZero"/>
        <c:auto val="1"/>
        <c:lblAlgn val="ctr"/>
        <c:lblOffset val="100"/>
        <c:noMultiLvlLbl val="0"/>
      </c:catAx>
      <c:valAx>
        <c:axId val="19340664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3407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[Xbox_Vendas.xlsx]C̳álculos!Tabela dinâmica4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3939584824624195E-2"/>
          <c:y val="8.0279232111692841E-2"/>
          <c:w val="0.81535843474111214"/>
          <c:h val="0.567260034904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C̳álculos!$C$25</c:f>
              <c:strCache>
                <c:ptCount val="1"/>
                <c:pt idx="0">
                  <c:v>Revenue from Minecraft only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C̳álculos!$C$26:$C$28</c:f>
              <c:numCache>
                <c:formatCode>General</c:formatCode>
                <c:ptCount val="2"/>
                <c:pt idx="0">
                  <c:v>0</c:v>
                </c:pt>
                <c:pt idx="1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3F-4772-AF9C-5D1C6BCDEAF6}"/>
            </c:ext>
          </c:extLst>
        </c:ser>
        <c:ser>
          <c:idx val="1"/>
          <c:order val="1"/>
          <c:tx>
            <c:strRef>
              <c:f>C̳álculos!$D$25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C̳álculos!$D$26:$D$28</c:f>
              <c:numCache>
                <c:formatCode>General</c:formatCode>
                <c:ptCount val="2"/>
                <c:pt idx="0">
                  <c:v>444</c:v>
                </c:pt>
                <c:pt idx="1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3F-4772-AF9C-5D1C6BCDE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8920000"/>
        <c:axId val="2018911680"/>
      </c:barChart>
      <c:catAx>
        <c:axId val="201892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8911680"/>
        <c:crosses val="autoZero"/>
        <c:auto val="1"/>
        <c:lblAlgn val="ctr"/>
        <c:lblOffset val="100"/>
        <c:noMultiLvlLbl val="0"/>
      </c:catAx>
      <c:valAx>
        <c:axId val="201891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892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7.5257265569076595E-2"/>
          <c:y val="0.70887331491940475"/>
          <c:w val="0.88314922452875211"/>
          <c:h val="0.2605963914196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[Xbox_Vendas.xlsx]C̳álculos!Tabela dinâmica1</c:name>
    <c:fmtId val="3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8314699352934593E-2"/>
          <c:y val="5.5035068410527993E-2"/>
          <c:w val="0.88239052827026099"/>
          <c:h val="0.79068376068376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4F-46F6-BC33-41F2208E51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C̳álculos!$C$6:$C$9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4F-46F6-BC33-41F2208E51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4073152"/>
        <c:axId val="1934066496"/>
      </c:barChart>
      <c:catAx>
        <c:axId val="19340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934066496"/>
        <c:crosses val="autoZero"/>
        <c:auto val="1"/>
        <c:lblAlgn val="ctr"/>
        <c:lblOffset val="100"/>
        <c:noMultiLvlLbl val="0"/>
      </c:catAx>
      <c:valAx>
        <c:axId val="19340664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3407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[Xbox_Vendas.xlsx]C̳álculos!Tabela dinâmica4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2580716470173423E-2"/>
          <c:y val="7.0567542004337333E-2"/>
          <c:w val="0.90105125607050196"/>
          <c:h val="0.682706454046367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C̳álculos!$C$25</c:f>
              <c:strCache>
                <c:ptCount val="1"/>
                <c:pt idx="0">
                  <c:v>Revenue from Minecraft only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C̳álculos!$C$26:$C$28</c:f>
              <c:numCache>
                <c:formatCode>General</c:formatCode>
                <c:ptCount val="2"/>
                <c:pt idx="0">
                  <c:v>0</c:v>
                </c:pt>
                <c:pt idx="1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A-410B-8F0E-EACFC406C8F6}"/>
            </c:ext>
          </c:extLst>
        </c:ser>
        <c:ser>
          <c:idx val="1"/>
          <c:order val="1"/>
          <c:tx>
            <c:strRef>
              <c:f>C̳álculos!$D$25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C̳álculos!$D$26:$D$28</c:f>
              <c:numCache>
                <c:formatCode>General</c:formatCode>
                <c:ptCount val="2"/>
                <c:pt idx="0">
                  <c:v>444</c:v>
                </c:pt>
                <c:pt idx="1">
                  <c:v>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A-410B-8F0E-EACFC406C8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8920000"/>
        <c:axId val="2018911680"/>
      </c:barChart>
      <c:catAx>
        <c:axId val="201892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018911680"/>
        <c:crosses val="autoZero"/>
        <c:auto val="1"/>
        <c:lblAlgn val="ctr"/>
        <c:lblOffset val="100"/>
        <c:noMultiLvlLbl val="0"/>
      </c:catAx>
      <c:valAx>
        <c:axId val="201891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01892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1.6546675010257882E-2"/>
          <c:y val="0.81136590203859693"/>
          <c:w val="0.98345332498974214"/>
          <c:h val="0.1864146431957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[Xbox_Vendas.xlsx]C̳álculos!Tabela dinâmica6</c:name>
    <c:fmtId val="7"/>
  </c:pivotSource>
  <c:chart>
    <c:autoTitleDeleted val="0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  <c:pivotFmt>
        <c:idx val="9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600851530181761"/>
          <c:y val="2.2558222396851456E-3"/>
          <c:w val="0.83284261707053309"/>
          <c:h val="0.793926951383172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C̳álculos!$B$45</c:f>
              <c:strCache>
                <c:ptCount val="1"/>
                <c:pt idx="0">
                  <c:v>Discounted amount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C̳álculos!$B$46</c:f>
              <c:numCache>
                <c:formatCode>General</c:formatCode>
                <c:ptCount val="1"/>
                <c:pt idx="0">
                  <c:v>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A-406E-9815-2C70C0607F87}"/>
            </c:ext>
          </c:extLst>
        </c:ser>
        <c:ser>
          <c:idx val="1"/>
          <c:order val="1"/>
          <c:tx>
            <c:strRef>
              <c:f>C̳álculos!$C$45</c:f>
              <c:strCache>
                <c:ptCount val="1"/>
                <c:pt idx="0">
                  <c:v>Total amount to be paid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C̳álculos!$C$46</c:f>
              <c:numCache>
                <c:formatCode>General</c:formatCode>
                <c:ptCount val="1"/>
                <c:pt idx="0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A-406E-9815-2C70C0607F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8919168"/>
        <c:axId val="2018914176"/>
      </c:barChart>
      <c:catAx>
        <c:axId val="2018919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8914176"/>
        <c:crosses val="autoZero"/>
        <c:auto val="1"/>
        <c:lblAlgn val="ctr"/>
        <c:lblOffset val="100"/>
        <c:noMultiLvlLbl val="0"/>
      </c:catAx>
      <c:valAx>
        <c:axId val="201891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01891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89272330139140754"/>
          <c:w val="0.99811788410924152"/>
          <c:h val="0.10688885739441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6.png"/><Relationship Id="rId5" Type="http://schemas.openxmlformats.org/officeDocument/2006/relationships/image" Target="../media/image7.png"/><Relationship Id="rId10" Type="http://schemas.openxmlformats.org/officeDocument/2006/relationships/image" Target="../media/image10.sv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1609725</xdr:colOff>
      <xdr:row>2</xdr:row>
      <xdr:rowOff>152400</xdr:rowOff>
    </xdr:from>
    <xdr:to>
      <xdr:col>8</xdr:col>
      <xdr:colOff>123825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7000" y="5143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371475</xdr:colOff>
      <xdr:row>1</xdr:row>
      <xdr:rowOff>142875</xdr:rowOff>
    </xdr:from>
    <xdr:to>
      <xdr:col>6</xdr:col>
      <xdr:colOff>1071562</xdr:colOff>
      <xdr:row>18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19050</xdr:colOff>
      <xdr:row>21</xdr:row>
      <xdr:rowOff>66675</xdr:rowOff>
    </xdr:from>
    <xdr:to>
      <xdr:col>9</xdr:col>
      <xdr:colOff>285750</xdr:colOff>
      <xdr:row>41</xdr:row>
      <xdr:rowOff>85725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0</xdr:row>
      <xdr:rowOff>214312</xdr:rowOff>
    </xdr:from>
    <xdr:to>
      <xdr:col>0</xdr:col>
      <xdr:colOff>1250156</xdr:colOff>
      <xdr:row>0</xdr:row>
      <xdr:rowOff>988218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343"/>
        <a:stretch/>
      </xdr:blipFill>
      <xdr:spPr>
        <a:xfrm>
          <a:off x="285750" y="214312"/>
          <a:ext cx="964406" cy="77390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303918</xdr:rowOff>
    </xdr:from>
    <xdr:to>
      <xdr:col>0</xdr:col>
      <xdr:colOff>1872708</xdr:colOff>
      <xdr:row>5</xdr:row>
      <xdr:rowOff>45709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me Peri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 Peri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63989"/>
              <a:ext cx="1872708" cy="1374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377205</xdr:colOff>
      <xdr:row>2</xdr:row>
      <xdr:rowOff>303918</xdr:rowOff>
    </xdr:from>
    <xdr:to>
      <xdr:col>14</xdr:col>
      <xdr:colOff>169623</xdr:colOff>
      <xdr:row>11</xdr:row>
      <xdr:rowOff>303132</xdr:rowOff>
    </xdr:to>
    <xdr:grpSp>
      <xdr:nvGrpSpPr>
        <xdr:cNvPr id="8" name="Agrupar 7"/>
        <xdr:cNvGrpSpPr/>
      </xdr:nvGrpSpPr>
      <xdr:grpSpPr>
        <a:xfrm>
          <a:off x="2323026" y="1963989"/>
          <a:ext cx="8160811" cy="4897786"/>
          <a:chOff x="2341344" y="1571626"/>
          <a:chExt cx="7481311" cy="4691061"/>
        </a:xfrm>
      </xdr:grpSpPr>
      <xdr:sp macro="" textlink="">
        <xdr:nvSpPr>
          <xdr:cNvPr id="3" name="Retângulo Arredondado 2"/>
          <xdr:cNvSpPr/>
        </xdr:nvSpPr>
        <xdr:spPr>
          <a:xfrm>
            <a:off x="2341344" y="1607344"/>
            <a:ext cx="7457499" cy="4655343"/>
          </a:xfrm>
          <a:prstGeom prst="roundRect">
            <a:avLst>
              <a:gd name="adj" fmla="val 632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Arredondar Retângulo no Mesmo Canto Lateral 3"/>
          <xdr:cNvSpPr/>
        </xdr:nvSpPr>
        <xdr:spPr>
          <a:xfrm>
            <a:off x="2345530" y="1571626"/>
            <a:ext cx="7477125" cy="69056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 baseline="0">
                <a:latin typeface="Segoe UI" panose="020B0502040204020203" pitchFamily="34" charset="0"/>
              </a:rPr>
              <a:t>Number of Subscriptions by Plan Type</a:t>
            </a:r>
            <a:endParaRPr lang="pt-BR" sz="2400" b="1" baseline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6" name="Gráfico 5"/>
          <xdr:cNvGraphicFramePr>
            <a:graphicFrameLocks/>
          </xdr:cNvGraphicFramePr>
        </xdr:nvGraphicFramePr>
        <xdr:xfrm>
          <a:off x="2345531" y="2405061"/>
          <a:ext cx="7429500" cy="35480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15</xdr:col>
      <xdr:colOff>534682</xdr:colOff>
      <xdr:row>2</xdr:row>
      <xdr:rowOff>303918</xdr:rowOff>
    </xdr:from>
    <xdr:to>
      <xdr:col>28</xdr:col>
      <xdr:colOff>221816</xdr:colOff>
      <xdr:row>11</xdr:row>
      <xdr:rowOff>302615</xdr:rowOff>
    </xdr:to>
    <xdr:grpSp>
      <xdr:nvGrpSpPr>
        <xdr:cNvPr id="16" name="Agrupar 15"/>
        <xdr:cNvGrpSpPr/>
      </xdr:nvGrpSpPr>
      <xdr:grpSpPr>
        <a:xfrm>
          <a:off x="11502039" y="1963989"/>
          <a:ext cx="8177991" cy="4897269"/>
          <a:chOff x="11203782" y="1475298"/>
          <a:chExt cx="7489030" cy="4927883"/>
        </a:xfrm>
      </xdr:grpSpPr>
      <xdr:grpSp>
        <xdr:nvGrpSpPr>
          <xdr:cNvPr id="9" name="Agrupar 8"/>
          <xdr:cNvGrpSpPr/>
        </xdr:nvGrpSpPr>
        <xdr:grpSpPr>
          <a:xfrm>
            <a:off x="11203782" y="1475298"/>
            <a:ext cx="7489030" cy="4927883"/>
            <a:chOff x="2324100" y="1547813"/>
            <a:chExt cx="7489030" cy="4714874"/>
          </a:xfrm>
        </xdr:grpSpPr>
        <xdr:sp macro="" textlink="">
          <xdr:nvSpPr>
            <xdr:cNvPr id="10" name="Retângulo Arredondado 9"/>
            <xdr:cNvSpPr/>
          </xdr:nvSpPr>
          <xdr:spPr>
            <a:xfrm>
              <a:off x="2341344" y="1607344"/>
              <a:ext cx="7457499" cy="4655343"/>
            </a:xfrm>
            <a:prstGeom prst="roundRect">
              <a:avLst>
                <a:gd name="adj" fmla="val 632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" name="Arredondar Retângulo no Mesmo Canto Lateral 10"/>
            <xdr:cNvSpPr/>
          </xdr:nvSpPr>
          <xdr:spPr>
            <a:xfrm>
              <a:off x="2324100" y="1547813"/>
              <a:ext cx="7489030" cy="6905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>
                  <a:latin typeface="Segoe UI" panose="020B0502040204020203" pitchFamily="34" charset="0"/>
                  <a:cs typeface="Segoe UI" panose="020B0502040204020203" pitchFamily="34" charset="0"/>
                </a:rPr>
                <a:t>Impact of Minecraft Pass on Total Revenue</a:t>
              </a:r>
            </a:p>
          </xdr:txBody>
        </xdr:sp>
      </xdr:grpSp>
      <xdr:graphicFrame macro="">
        <xdr:nvGraphicFramePr>
          <xdr:cNvPr id="14" name="Gráfico 13"/>
          <xdr:cNvGraphicFramePr>
            <a:graphicFrameLocks/>
          </xdr:cNvGraphicFramePr>
        </xdr:nvGraphicFramePr>
        <xdr:xfrm>
          <a:off x="11387712" y="2428875"/>
          <a:ext cx="7138413" cy="3917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</xdr:col>
      <xdr:colOff>429397</xdr:colOff>
      <xdr:row>23</xdr:row>
      <xdr:rowOff>218683</xdr:rowOff>
    </xdr:from>
    <xdr:to>
      <xdr:col>28</xdr:col>
      <xdr:colOff>221816</xdr:colOff>
      <xdr:row>37</xdr:row>
      <xdr:rowOff>496313</xdr:rowOff>
    </xdr:to>
    <xdr:grpSp>
      <xdr:nvGrpSpPr>
        <xdr:cNvPr id="12" name="Agrupar 11"/>
        <xdr:cNvGrpSpPr/>
      </xdr:nvGrpSpPr>
      <xdr:grpSpPr>
        <a:xfrm>
          <a:off x="2375218" y="13308754"/>
          <a:ext cx="17304812" cy="7897630"/>
          <a:chOff x="2422308" y="6997417"/>
          <a:chExt cx="16377661" cy="7944927"/>
        </a:xfrm>
      </xdr:grpSpPr>
      <xdr:sp macro="" textlink="">
        <xdr:nvSpPr>
          <xdr:cNvPr id="22" name="Retângulo Arredondado 21"/>
          <xdr:cNvSpPr/>
        </xdr:nvSpPr>
        <xdr:spPr>
          <a:xfrm>
            <a:off x="2422308" y="7034942"/>
            <a:ext cx="16325533" cy="7907402"/>
          </a:xfrm>
          <a:prstGeom prst="roundRect">
            <a:avLst>
              <a:gd name="adj" fmla="val 632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Arredondar Retângulo no Mesmo Canto Lateral 22"/>
          <xdr:cNvSpPr/>
        </xdr:nvSpPr>
        <xdr:spPr>
          <a:xfrm>
            <a:off x="2431472" y="6997417"/>
            <a:ext cx="16368497" cy="725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latin typeface="Segoe UI" panose="020B0502040204020203" pitchFamily="34" charset="0"/>
                <a:cs typeface="Segoe UI" panose="020B0502040204020203" pitchFamily="34" charset="0"/>
              </a:rPr>
              <a:t>Final Amount After Discount</a:t>
            </a:r>
          </a:p>
        </xdr:txBody>
      </xdr:sp>
      <xdr:sp macro="" textlink="C̳álculos!E46">
        <xdr:nvSpPr>
          <xdr:cNvPr id="29" name="Retângulo Arredondado 28"/>
          <xdr:cNvSpPr/>
        </xdr:nvSpPr>
        <xdr:spPr>
          <a:xfrm>
            <a:off x="9447971" y="7803371"/>
            <a:ext cx="5298282" cy="1428749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887731A5-7672-4AEC-9EC1-81D285DA6D1C}" type="TxLink">
              <a:rPr lang="en-US" sz="70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l"/>
              <a:t>R$ 9.755,00</a:t>
            </a:fld>
            <a:endParaRPr lang="en-US" sz="700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7" name="CaixaDeTexto 6"/>
          <xdr:cNvSpPr txBox="1"/>
        </xdr:nvSpPr>
        <xdr:spPr>
          <a:xfrm>
            <a:off x="2714625" y="8213899"/>
            <a:ext cx="6869905" cy="60769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2800">
                <a:latin typeface="Segoe UI" panose="020B0502040204020203" pitchFamily="34" charset="0"/>
                <a:cs typeface="Segoe UI" panose="020B0502040204020203" pitchFamily="34" charset="0"/>
              </a:rPr>
              <a:t>Total Amount to Be Paid Without </a:t>
            </a:r>
            <a:r>
              <a:rPr lang="pt-BR" sz="3000">
                <a:latin typeface="Segoe UI" panose="020B0502040204020203" pitchFamily="34" charset="0"/>
                <a:cs typeface="Segoe UI" panose="020B0502040204020203" pitchFamily="34" charset="0"/>
              </a:rPr>
              <a:t>Discount</a:t>
            </a:r>
            <a:r>
              <a:rPr lang="pt-BR" sz="2800">
                <a:latin typeface="Segoe UI" panose="020B0502040204020203" pitchFamily="34" charset="0"/>
                <a:cs typeface="Segoe UI" panose="020B0502040204020203" pitchFamily="34" charset="0"/>
              </a:rPr>
              <a:t>:</a:t>
            </a:r>
          </a:p>
        </xdr:txBody>
      </xdr:sp>
      <xdr:graphicFrame macro="">
        <xdr:nvGraphicFramePr>
          <xdr:cNvPr id="18" name="Gráfico 17"/>
          <xdr:cNvGraphicFramePr>
            <a:graphicFrameLocks/>
          </xdr:cNvGraphicFramePr>
        </xdr:nvGraphicFramePr>
        <xdr:xfrm>
          <a:off x="2939162" y="9428019"/>
          <a:ext cx="15291826" cy="5514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</xdr:col>
      <xdr:colOff>377205</xdr:colOff>
      <xdr:row>13</xdr:row>
      <xdr:rowOff>143167</xdr:rowOff>
    </xdr:from>
    <xdr:to>
      <xdr:col>14</xdr:col>
      <xdr:colOff>169623</xdr:colOff>
      <xdr:row>22</xdr:row>
      <xdr:rowOff>142381</xdr:rowOff>
    </xdr:to>
    <xdr:grpSp>
      <xdr:nvGrpSpPr>
        <xdr:cNvPr id="15" name="Agrupar 14"/>
        <xdr:cNvGrpSpPr/>
      </xdr:nvGrpSpPr>
      <xdr:grpSpPr>
        <a:xfrm>
          <a:off x="2323026" y="7790381"/>
          <a:ext cx="8160811" cy="4897786"/>
          <a:chOff x="2382414" y="7502208"/>
          <a:chExt cx="8156151" cy="4931337"/>
        </a:xfrm>
      </xdr:grpSpPr>
      <xdr:grpSp>
        <xdr:nvGrpSpPr>
          <xdr:cNvPr id="19" name="Agrupar 18"/>
          <xdr:cNvGrpSpPr/>
        </xdr:nvGrpSpPr>
        <xdr:grpSpPr>
          <a:xfrm>
            <a:off x="2382414" y="7502208"/>
            <a:ext cx="8156151" cy="4931337"/>
            <a:chOff x="2341344" y="1571626"/>
            <a:chExt cx="7481311" cy="4691061"/>
          </a:xfrm>
        </xdr:grpSpPr>
        <xdr:sp macro="" textlink="">
          <xdr:nvSpPr>
            <xdr:cNvPr id="20" name="Retângulo Arredondado 19"/>
            <xdr:cNvSpPr/>
          </xdr:nvSpPr>
          <xdr:spPr>
            <a:xfrm>
              <a:off x="2341344" y="1607344"/>
              <a:ext cx="7457499" cy="4655343"/>
            </a:xfrm>
            <a:prstGeom prst="roundRect">
              <a:avLst>
                <a:gd name="adj" fmla="val 632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1" name="Arredondar Retângulo no Mesmo Canto Lateral 20"/>
            <xdr:cNvSpPr/>
          </xdr:nvSpPr>
          <xdr:spPr>
            <a:xfrm>
              <a:off x="2345530" y="1571626"/>
              <a:ext cx="7477125" cy="6905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value of Minecraft</a:t>
              </a:r>
              <a:endParaRPr lang="pt-BR" sz="2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E76">
        <xdr:nvSpPr>
          <xdr:cNvPr id="13" name="Retângulo Arredondado 12"/>
          <xdr:cNvSpPr/>
        </xdr:nvSpPr>
        <xdr:spPr>
          <a:xfrm>
            <a:off x="5193083" y="8220205"/>
            <a:ext cx="5206129" cy="371866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723D1BB-192A-4E00-84CB-5A06024067EB}" type="TxLink">
              <a:rPr lang="en-US" sz="70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R$ 3.880,00</a:t>
            </a:fld>
            <a:endParaRPr lang="pt-BR" sz="700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2505207" y="9520236"/>
            <a:ext cx="2505204" cy="1118602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15</xdr:col>
      <xdr:colOff>546829</xdr:colOff>
      <xdr:row>13</xdr:row>
      <xdr:rowOff>182310</xdr:rowOff>
    </xdr:from>
    <xdr:to>
      <xdr:col>28</xdr:col>
      <xdr:colOff>221816</xdr:colOff>
      <xdr:row>22</xdr:row>
      <xdr:rowOff>181524</xdr:rowOff>
    </xdr:to>
    <xdr:grpSp>
      <xdr:nvGrpSpPr>
        <xdr:cNvPr id="17" name="Agrupar 16"/>
        <xdr:cNvGrpSpPr/>
      </xdr:nvGrpSpPr>
      <xdr:grpSpPr>
        <a:xfrm>
          <a:off x="11514186" y="7829524"/>
          <a:ext cx="8165844" cy="4897786"/>
          <a:chOff x="11481007" y="7502208"/>
          <a:chExt cx="8156151" cy="4931337"/>
        </a:xfrm>
      </xdr:grpSpPr>
      <xdr:sp macro="" textlink="">
        <xdr:nvSpPr>
          <xdr:cNvPr id="36" name="Retângulo Arredondado 35"/>
          <xdr:cNvSpPr/>
        </xdr:nvSpPr>
        <xdr:spPr>
          <a:xfrm>
            <a:off x="11481007" y="7539755"/>
            <a:ext cx="8130191" cy="4893790"/>
          </a:xfrm>
          <a:prstGeom prst="roundRect">
            <a:avLst>
              <a:gd name="adj" fmla="val 632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7" name="Arredondar Retângulo no Mesmo Canto Lateral 36"/>
          <xdr:cNvSpPr/>
        </xdr:nvSpPr>
        <xdr:spPr>
          <a:xfrm>
            <a:off x="11485571" y="7502208"/>
            <a:ext cx="8151587" cy="72593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latin typeface="Segoe UI" panose="020B0502040204020203" pitchFamily="34" charset="0"/>
                <a:cs typeface="Segoe UI" panose="020B0502040204020203" pitchFamily="34" charset="0"/>
              </a:rPr>
              <a:t>Total value of EA Play</a:t>
            </a:r>
          </a:p>
        </xdr:txBody>
      </xdr:sp>
      <xdr:sp macro="" textlink="C̳álculos!E90">
        <xdr:nvSpPr>
          <xdr:cNvPr id="32" name="Retângulo Arredondado 31"/>
          <xdr:cNvSpPr/>
        </xdr:nvSpPr>
        <xdr:spPr>
          <a:xfrm>
            <a:off x="14200340" y="9498149"/>
            <a:ext cx="5206129" cy="1435274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34FC5E1-9F50-4641-B8B4-7B442404AF1A}" type="TxLink">
              <a:rPr lang="en-US" sz="70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R$ 295,00</a:t>
            </a:fld>
            <a:endParaRPr lang="pt-BR" sz="700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38" name="Imagem 37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618294" y="9073911"/>
            <a:ext cx="2717852" cy="2283751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6034.838515046293" createdVersion="6" refreshedVersion="6" minRefreshableVersion="3" recordCount="295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1"/>
    <x v="1"/>
    <x v="0"/>
    <x v="0"/>
    <x v="2"/>
    <x v="2"/>
  </r>
  <r>
    <x v="3"/>
    <x v="3"/>
    <x v="0"/>
    <x v="3"/>
    <x v="1"/>
    <x v="0"/>
    <x v="0"/>
    <x v="0"/>
    <x v="0"/>
    <x v="0"/>
    <x v="0"/>
    <x v="3"/>
    <x v="3"/>
  </r>
  <r>
    <x v="4"/>
    <x v="4"/>
    <x v="1"/>
    <x v="4"/>
    <x v="0"/>
    <x v="1"/>
    <x v="0"/>
    <x v="1"/>
    <x v="1"/>
    <x v="1"/>
    <x v="1"/>
    <x v="4"/>
    <x v="4"/>
  </r>
  <r>
    <x v="5"/>
    <x v="5"/>
    <x v="2"/>
    <x v="5"/>
    <x v="1"/>
    <x v="2"/>
    <x v="0"/>
    <x v="1"/>
    <x v="1"/>
    <x v="0"/>
    <x v="0"/>
    <x v="5"/>
    <x v="5"/>
  </r>
  <r>
    <x v="6"/>
    <x v="6"/>
    <x v="0"/>
    <x v="6"/>
    <x v="0"/>
    <x v="0"/>
    <x v="2"/>
    <x v="0"/>
    <x v="0"/>
    <x v="0"/>
    <x v="0"/>
    <x v="2"/>
    <x v="6"/>
  </r>
  <r>
    <x v="7"/>
    <x v="7"/>
    <x v="1"/>
    <x v="7"/>
    <x v="0"/>
    <x v="1"/>
    <x v="1"/>
    <x v="1"/>
    <x v="1"/>
    <x v="1"/>
    <x v="1"/>
    <x v="1"/>
    <x v="1"/>
  </r>
  <r>
    <x v="8"/>
    <x v="8"/>
    <x v="0"/>
    <x v="4"/>
    <x v="1"/>
    <x v="0"/>
    <x v="0"/>
    <x v="0"/>
    <x v="0"/>
    <x v="0"/>
    <x v="0"/>
    <x v="0"/>
    <x v="0"/>
  </r>
  <r>
    <x v="9"/>
    <x v="9"/>
    <x v="2"/>
    <x v="8"/>
    <x v="0"/>
    <x v="2"/>
    <x v="2"/>
    <x v="1"/>
    <x v="1"/>
    <x v="0"/>
    <x v="0"/>
    <x v="6"/>
    <x v="7"/>
  </r>
  <r>
    <x v="10"/>
    <x v="10"/>
    <x v="1"/>
    <x v="9"/>
    <x v="1"/>
    <x v="1"/>
    <x v="0"/>
    <x v="1"/>
    <x v="1"/>
    <x v="1"/>
    <x v="1"/>
    <x v="4"/>
    <x v="4"/>
  </r>
  <r>
    <x v="11"/>
    <x v="11"/>
    <x v="0"/>
    <x v="10"/>
    <x v="0"/>
    <x v="0"/>
    <x v="1"/>
    <x v="0"/>
    <x v="0"/>
    <x v="0"/>
    <x v="0"/>
    <x v="7"/>
    <x v="8"/>
  </r>
  <r>
    <x v="12"/>
    <x v="12"/>
    <x v="2"/>
    <x v="11"/>
    <x v="1"/>
    <x v="2"/>
    <x v="0"/>
    <x v="1"/>
    <x v="1"/>
    <x v="0"/>
    <x v="0"/>
    <x v="2"/>
    <x v="2"/>
  </r>
  <r>
    <x v="13"/>
    <x v="13"/>
    <x v="1"/>
    <x v="12"/>
    <x v="0"/>
    <x v="1"/>
    <x v="2"/>
    <x v="1"/>
    <x v="1"/>
    <x v="1"/>
    <x v="1"/>
    <x v="1"/>
    <x v="1"/>
  </r>
  <r>
    <x v="14"/>
    <x v="14"/>
    <x v="0"/>
    <x v="13"/>
    <x v="1"/>
    <x v="0"/>
    <x v="0"/>
    <x v="0"/>
    <x v="0"/>
    <x v="0"/>
    <x v="0"/>
    <x v="8"/>
    <x v="9"/>
  </r>
  <r>
    <x v="15"/>
    <x v="15"/>
    <x v="2"/>
    <x v="14"/>
    <x v="0"/>
    <x v="2"/>
    <x v="1"/>
    <x v="1"/>
    <x v="1"/>
    <x v="0"/>
    <x v="0"/>
    <x v="9"/>
    <x v="10"/>
  </r>
  <r>
    <x v="16"/>
    <x v="16"/>
    <x v="1"/>
    <x v="15"/>
    <x v="1"/>
    <x v="1"/>
    <x v="0"/>
    <x v="1"/>
    <x v="1"/>
    <x v="1"/>
    <x v="1"/>
    <x v="5"/>
    <x v="11"/>
  </r>
  <r>
    <x v="17"/>
    <x v="17"/>
    <x v="0"/>
    <x v="16"/>
    <x v="0"/>
    <x v="0"/>
    <x v="2"/>
    <x v="0"/>
    <x v="0"/>
    <x v="0"/>
    <x v="0"/>
    <x v="10"/>
    <x v="12"/>
  </r>
  <r>
    <x v="18"/>
    <x v="18"/>
    <x v="2"/>
    <x v="17"/>
    <x v="1"/>
    <x v="2"/>
    <x v="0"/>
    <x v="1"/>
    <x v="1"/>
    <x v="0"/>
    <x v="0"/>
    <x v="0"/>
    <x v="13"/>
  </r>
  <r>
    <x v="19"/>
    <x v="19"/>
    <x v="1"/>
    <x v="18"/>
    <x v="0"/>
    <x v="1"/>
    <x v="1"/>
    <x v="1"/>
    <x v="1"/>
    <x v="1"/>
    <x v="1"/>
    <x v="1"/>
    <x v="1"/>
  </r>
  <r>
    <x v="20"/>
    <x v="20"/>
    <x v="0"/>
    <x v="19"/>
    <x v="1"/>
    <x v="0"/>
    <x v="0"/>
    <x v="0"/>
    <x v="0"/>
    <x v="0"/>
    <x v="0"/>
    <x v="3"/>
    <x v="3"/>
  </r>
  <r>
    <x v="21"/>
    <x v="21"/>
    <x v="2"/>
    <x v="20"/>
    <x v="0"/>
    <x v="2"/>
    <x v="2"/>
    <x v="1"/>
    <x v="1"/>
    <x v="0"/>
    <x v="0"/>
    <x v="6"/>
    <x v="7"/>
  </r>
  <r>
    <x v="22"/>
    <x v="22"/>
    <x v="1"/>
    <x v="21"/>
    <x v="1"/>
    <x v="1"/>
    <x v="0"/>
    <x v="1"/>
    <x v="1"/>
    <x v="1"/>
    <x v="1"/>
    <x v="4"/>
    <x v="4"/>
  </r>
  <r>
    <x v="23"/>
    <x v="23"/>
    <x v="0"/>
    <x v="22"/>
    <x v="0"/>
    <x v="0"/>
    <x v="1"/>
    <x v="0"/>
    <x v="0"/>
    <x v="0"/>
    <x v="0"/>
    <x v="7"/>
    <x v="8"/>
  </r>
  <r>
    <x v="24"/>
    <x v="24"/>
    <x v="2"/>
    <x v="23"/>
    <x v="1"/>
    <x v="2"/>
    <x v="0"/>
    <x v="1"/>
    <x v="1"/>
    <x v="0"/>
    <x v="0"/>
    <x v="2"/>
    <x v="2"/>
  </r>
  <r>
    <x v="25"/>
    <x v="25"/>
    <x v="1"/>
    <x v="24"/>
    <x v="0"/>
    <x v="1"/>
    <x v="2"/>
    <x v="1"/>
    <x v="1"/>
    <x v="1"/>
    <x v="1"/>
    <x v="1"/>
    <x v="1"/>
  </r>
  <r>
    <x v="26"/>
    <x v="26"/>
    <x v="0"/>
    <x v="25"/>
    <x v="1"/>
    <x v="0"/>
    <x v="0"/>
    <x v="0"/>
    <x v="0"/>
    <x v="0"/>
    <x v="0"/>
    <x v="0"/>
    <x v="0"/>
  </r>
  <r>
    <x v="27"/>
    <x v="27"/>
    <x v="2"/>
    <x v="26"/>
    <x v="0"/>
    <x v="2"/>
    <x v="1"/>
    <x v="1"/>
    <x v="1"/>
    <x v="0"/>
    <x v="0"/>
    <x v="6"/>
    <x v="7"/>
  </r>
  <r>
    <x v="28"/>
    <x v="28"/>
    <x v="1"/>
    <x v="27"/>
    <x v="1"/>
    <x v="1"/>
    <x v="0"/>
    <x v="1"/>
    <x v="1"/>
    <x v="1"/>
    <x v="1"/>
    <x v="4"/>
    <x v="4"/>
  </r>
  <r>
    <x v="29"/>
    <x v="29"/>
    <x v="0"/>
    <x v="28"/>
    <x v="0"/>
    <x v="0"/>
    <x v="2"/>
    <x v="0"/>
    <x v="0"/>
    <x v="0"/>
    <x v="0"/>
    <x v="10"/>
    <x v="12"/>
  </r>
  <r>
    <x v="30"/>
    <x v="30"/>
    <x v="2"/>
    <x v="29"/>
    <x v="1"/>
    <x v="2"/>
    <x v="0"/>
    <x v="1"/>
    <x v="1"/>
    <x v="0"/>
    <x v="0"/>
    <x v="2"/>
    <x v="2"/>
  </r>
  <r>
    <x v="31"/>
    <x v="31"/>
    <x v="1"/>
    <x v="30"/>
    <x v="0"/>
    <x v="1"/>
    <x v="1"/>
    <x v="1"/>
    <x v="1"/>
    <x v="1"/>
    <x v="1"/>
    <x v="1"/>
    <x v="1"/>
  </r>
  <r>
    <x v="32"/>
    <x v="32"/>
    <x v="0"/>
    <x v="31"/>
    <x v="1"/>
    <x v="0"/>
    <x v="0"/>
    <x v="0"/>
    <x v="0"/>
    <x v="0"/>
    <x v="0"/>
    <x v="3"/>
    <x v="3"/>
  </r>
  <r>
    <x v="33"/>
    <x v="33"/>
    <x v="2"/>
    <x v="32"/>
    <x v="0"/>
    <x v="2"/>
    <x v="2"/>
    <x v="1"/>
    <x v="1"/>
    <x v="0"/>
    <x v="0"/>
    <x v="6"/>
    <x v="7"/>
  </r>
  <r>
    <x v="34"/>
    <x v="34"/>
    <x v="1"/>
    <x v="33"/>
    <x v="1"/>
    <x v="1"/>
    <x v="0"/>
    <x v="1"/>
    <x v="1"/>
    <x v="1"/>
    <x v="1"/>
    <x v="4"/>
    <x v="4"/>
  </r>
  <r>
    <x v="35"/>
    <x v="35"/>
    <x v="1"/>
    <x v="34"/>
    <x v="0"/>
    <x v="1"/>
    <x v="0"/>
    <x v="1"/>
    <x v="1"/>
    <x v="1"/>
    <x v="1"/>
    <x v="1"/>
    <x v="1"/>
  </r>
  <r>
    <x v="36"/>
    <x v="36"/>
    <x v="0"/>
    <x v="35"/>
    <x v="1"/>
    <x v="0"/>
    <x v="2"/>
    <x v="0"/>
    <x v="0"/>
    <x v="0"/>
    <x v="0"/>
    <x v="10"/>
    <x v="12"/>
  </r>
  <r>
    <x v="37"/>
    <x v="37"/>
    <x v="2"/>
    <x v="36"/>
    <x v="0"/>
    <x v="2"/>
    <x v="1"/>
    <x v="1"/>
    <x v="1"/>
    <x v="0"/>
    <x v="0"/>
    <x v="2"/>
    <x v="2"/>
  </r>
  <r>
    <x v="38"/>
    <x v="38"/>
    <x v="1"/>
    <x v="37"/>
    <x v="1"/>
    <x v="1"/>
    <x v="2"/>
    <x v="1"/>
    <x v="1"/>
    <x v="1"/>
    <x v="1"/>
    <x v="4"/>
    <x v="4"/>
  </r>
  <r>
    <x v="39"/>
    <x v="39"/>
    <x v="0"/>
    <x v="38"/>
    <x v="0"/>
    <x v="0"/>
    <x v="0"/>
    <x v="0"/>
    <x v="0"/>
    <x v="0"/>
    <x v="0"/>
    <x v="6"/>
    <x v="14"/>
  </r>
  <r>
    <x v="40"/>
    <x v="40"/>
    <x v="2"/>
    <x v="39"/>
    <x v="1"/>
    <x v="2"/>
    <x v="0"/>
    <x v="1"/>
    <x v="1"/>
    <x v="0"/>
    <x v="0"/>
    <x v="0"/>
    <x v="13"/>
  </r>
  <r>
    <x v="41"/>
    <x v="41"/>
    <x v="1"/>
    <x v="40"/>
    <x v="0"/>
    <x v="1"/>
    <x v="1"/>
    <x v="1"/>
    <x v="1"/>
    <x v="1"/>
    <x v="1"/>
    <x v="1"/>
    <x v="1"/>
  </r>
  <r>
    <x v="42"/>
    <x v="42"/>
    <x v="0"/>
    <x v="41"/>
    <x v="1"/>
    <x v="0"/>
    <x v="2"/>
    <x v="0"/>
    <x v="0"/>
    <x v="0"/>
    <x v="0"/>
    <x v="7"/>
    <x v="8"/>
  </r>
  <r>
    <x v="43"/>
    <x v="43"/>
    <x v="2"/>
    <x v="42"/>
    <x v="0"/>
    <x v="2"/>
    <x v="2"/>
    <x v="1"/>
    <x v="1"/>
    <x v="0"/>
    <x v="0"/>
    <x v="9"/>
    <x v="10"/>
  </r>
  <r>
    <x v="44"/>
    <x v="44"/>
    <x v="1"/>
    <x v="43"/>
    <x v="1"/>
    <x v="1"/>
    <x v="0"/>
    <x v="1"/>
    <x v="1"/>
    <x v="1"/>
    <x v="1"/>
    <x v="5"/>
    <x v="11"/>
  </r>
  <r>
    <x v="45"/>
    <x v="45"/>
    <x v="0"/>
    <x v="44"/>
    <x v="0"/>
    <x v="0"/>
    <x v="1"/>
    <x v="0"/>
    <x v="0"/>
    <x v="0"/>
    <x v="0"/>
    <x v="0"/>
    <x v="0"/>
  </r>
  <r>
    <x v="46"/>
    <x v="46"/>
    <x v="2"/>
    <x v="45"/>
    <x v="1"/>
    <x v="2"/>
    <x v="0"/>
    <x v="1"/>
    <x v="1"/>
    <x v="0"/>
    <x v="0"/>
    <x v="2"/>
    <x v="2"/>
  </r>
  <r>
    <x v="47"/>
    <x v="47"/>
    <x v="1"/>
    <x v="46"/>
    <x v="0"/>
    <x v="1"/>
    <x v="2"/>
    <x v="1"/>
    <x v="1"/>
    <x v="1"/>
    <x v="1"/>
    <x v="1"/>
    <x v="1"/>
  </r>
  <r>
    <x v="48"/>
    <x v="48"/>
    <x v="0"/>
    <x v="47"/>
    <x v="1"/>
    <x v="0"/>
    <x v="0"/>
    <x v="0"/>
    <x v="0"/>
    <x v="0"/>
    <x v="0"/>
    <x v="3"/>
    <x v="3"/>
  </r>
  <r>
    <x v="49"/>
    <x v="49"/>
    <x v="2"/>
    <x v="48"/>
    <x v="0"/>
    <x v="2"/>
    <x v="1"/>
    <x v="1"/>
    <x v="1"/>
    <x v="0"/>
    <x v="0"/>
    <x v="6"/>
    <x v="7"/>
  </r>
  <r>
    <x v="50"/>
    <x v="50"/>
    <x v="1"/>
    <x v="49"/>
    <x v="1"/>
    <x v="1"/>
    <x v="0"/>
    <x v="1"/>
    <x v="1"/>
    <x v="1"/>
    <x v="1"/>
    <x v="4"/>
    <x v="4"/>
  </r>
  <r>
    <x v="51"/>
    <x v="51"/>
    <x v="0"/>
    <x v="50"/>
    <x v="0"/>
    <x v="0"/>
    <x v="2"/>
    <x v="0"/>
    <x v="0"/>
    <x v="0"/>
    <x v="0"/>
    <x v="10"/>
    <x v="12"/>
  </r>
  <r>
    <x v="52"/>
    <x v="52"/>
    <x v="2"/>
    <x v="51"/>
    <x v="1"/>
    <x v="2"/>
    <x v="0"/>
    <x v="1"/>
    <x v="1"/>
    <x v="0"/>
    <x v="0"/>
    <x v="2"/>
    <x v="2"/>
  </r>
  <r>
    <x v="53"/>
    <x v="53"/>
    <x v="1"/>
    <x v="52"/>
    <x v="0"/>
    <x v="1"/>
    <x v="1"/>
    <x v="1"/>
    <x v="1"/>
    <x v="1"/>
    <x v="1"/>
    <x v="1"/>
    <x v="1"/>
  </r>
  <r>
    <x v="54"/>
    <x v="54"/>
    <x v="0"/>
    <x v="53"/>
    <x v="1"/>
    <x v="0"/>
    <x v="0"/>
    <x v="0"/>
    <x v="0"/>
    <x v="0"/>
    <x v="0"/>
    <x v="7"/>
    <x v="8"/>
  </r>
  <r>
    <x v="55"/>
    <x v="55"/>
    <x v="2"/>
    <x v="54"/>
    <x v="0"/>
    <x v="2"/>
    <x v="2"/>
    <x v="1"/>
    <x v="1"/>
    <x v="0"/>
    <x v="0"/>
    <x v="6"/>
    <x v="7"/>
  </r>
  <r>
    <x v="56"/>
    <x v="56"/>
    <x v="1"/>
    <x v="55"/>
    <x v="1"/>
    <x v="1"/>
    <x v="0"/>
    <x v="1"/>
    <x v="1"/>
    <x v="1"/>
    <x v="1"/>
    <x v="4"/>
    <x v="4"/>
  </r>
  <r>
    <x v="57"/>
    <x v="57"/>
    <x v="0"/>
    <x v="56"/>
    <x v="0"/>
    <x v="0"/>
    <x v="1"/>
    <x v="0"/>
    <x v="0"/>
    <x v="0"/>
    <x v="0"/>
    <x v="3"/>
    <x v="3"/>
  </r>
  <r>
    <x v="58"/>
    <x v="58"/>
    <x v="2"/>
    <x v="57"/>
    <x v="1"/>
    <x v="2"/>
    <x v="0"/>
    <x v="1"/>
    <x v="1"/>
    <x v="0"/>
    <x v="0"/>
    <x v="2"/>
    <x v="2"/>
  </r>
  <r>
    <x v="59"/>
    <x v="59"/>
    <x v="1"/>
    <x v="58"/>
    <x v="0"/>
    <x v="1"/>
    <x v="2"/>
    <x v="1"/>
    <x v="1"/>
    <x v="1"/>
    <x v="1"/>
    <x v="1"/>
    <x v="1"/>
  </r>
  <r>
    <x v="60"/>
    <x v="60"/>
    <x v="0"/>
    <x v="59"/>
    <x v="1"/>
    <x v="0"/>
    <x v="0"/>
    <x v="0"/>
    <x v="0"/>
    <x v="0"/>
    <x v="0"/>
    <x v="0"/>
    <x v="0"/>
  </r>
  <r>
    <x v="61"/>
    <x v="61"/>
    <x v="2"/>
    <x v="60"/>
    <x v="0"/>
    <x v="2"/>
    <x v="1"/>
    <x v="1"/>
    <x v="1"/>
    <x v="0"/>
    <x v="0"/>
    <x v="6"/>
    <x v="7"/>
  </r>
  <r>
    <x v="62"/>
    <x v="62"/>
    <x v="1"/>
    <x v="61"/>
    <x v="1"/>
    <x v="1"/>
    <x v="0"/>
    <x v="1"/>
    <x v="1"/>
    <x v="1"/>
    <x v="1"/>
    <x v="4"/>
    <x v="4"/>
  </r>
  <r>
    <x v="63"/>
    <x v="63"/>
    <x v="0"/>
    <x v="62"/>
    <x v="0"/>
    <x v="0"/>
    <x v="2"/>
    <x v="0"/>
    <x v="0"/>
    <x v="0"/>
    <x v="0"/>
    <x v="7"/>
    <x v="8"/>
  </r>
  <r>
    <x v="64"/>
    <x v="64"/>
    <x v="2"/>
    <x v="63"/>
    <x v="1"/>
    <x v="2"/>
    <x v="0"/>
    <x v="1"/>
    <x v="1"/>
    <x v="0"/>
    <x v="0"/>
    <x v="0"/>
    <x v="13"/>
  </r>
  <r>
    <x v="65"/>
    <x v="65"/>
    <x v="1"/>
    <x v="64"/>
    <x v="1"/>
    <x v="1"/>
    <x v="0"/>
    <x v="1"/>
    <x v="1"/>
    <x v="1"/>
    <x v="1"/>
    <x v="1"/>
    <x v="1"/>
  </r>
  <r>
    <x v="66"/>
    <x v="66"/>
    <x v="0"/>
    <x v="65"/>
    <x v="0"/>
    <x v="0"/>
    <x v="2"/>
    <x v="0"/>
    <x v="0"/>
    <x v="0"/>
    <x v="0"/>
    <x v="10"/>
    <x v="12"/>
  </r>
  <r>
    <x v="67"/>
    <x v="67"/>
    <x v="2"/>
    <x v="66"/>
    <x v="1"/>
    <x v="2"/>
    <x v="1"/>
    <x v="1"/>
    <x v="1"/>
    <x v="0"/>
    <x v="0"/>
    <x v="2"/>
    <x v="2"/>
  </r>
  <r>
    <x v="68"/>
    <x v="68"/>
    <x v="1"/>
    <x v="67"/>
    <x v="0"/>
    <x v="1"/>
    <x v="2"/>
    <x v="1"/>
    <x v="1"/>
    <x v="1"/>
    <x v="1"/>
    <x v="4"/>
    <x v="4"/>
  </r>
  <r>
    <x v="69"/>
    <x v="69"/>
    <x v="0"/>
    <x v="68"/>
    <x v="1"/>
    <x v="0"/>
    <x v="0"/>
    <x v="0"/>
    <x v="0"/>
    <x v="0"/>
    <x v="0"/>
    <x v="6"/>
    <x v="14"/>
  </r>
  <r>
    <x v="70"/>
    <x v="70"/>
    <x v="2"/>
    <x v="69"/>
    <x v="0"/>
    <x v="2"/>
    <x v="0"/>
    <x v="1"/>
    <x v="1"/>
    <x v="0"/>
    <x v="0"/>
    <x v="0"/>
    <x v="13"/>
  </r>
  <r>
    <x v="71"/>
    <x v="71"/>
    <x v="1"/>
    <x v="70"/>
    <x v="1"/>
    <x v="1"/>
    <x v="1"/>
    <x v="1"/>
    <x v="1"/>
    <x v="1"/>
    <x v="1"/>
    <x v="1"/>
    <x v="1"/>
  </r>
  <r>
    <x v="72"/>
    <x v="72"/>
    <x v="0"/>
    <x v="71"/>
    <x v="0"/>
    <x v="0"/>
    <x v="2"/>
    <x v="0"/>
    <x v="0"/>
    <x v="0"/>
    <x v="0"/>
    <x v="7"/>
    <x v="8"/>
  </r>
  <r>
    <x v="73"/>
    <x v="73"/>
    <x v="2"/>
    <x v="72"/>
    <x v="1"/>
    <x v="2"/>
    <x v="2"/>
    <x v="1"/>
    <x v="1"/>
    <x v="0"/>
    <x v="0"/>
    <x v="9"/>
    <x v="10"/>
  </r>
  <r>
    <x v="74"/>
    <x v="74"/>
    <x v="1"/>
    <x v="73"/>
    <x v="0"/>
    <x v="1"/>
    <x v="0"/>
    <x v="1"/>
    <x v="1"/>
    <x v="1"/>
    <x v="1"/>
    <x v="5"/>
    <x v="11"/>
  </r>
  <r>
    <x v="75"/>
    <x v="75"/>
    <x v="0"/>
    <x v="74"/>
    <x v="1"/>
    <x v="0"/>
    <x v="1"/>
    <x v="0"/>
    <x v="0"/>
    <x v="0"/>
    <x v="0"/>
    <x v="0"/>
    <x v="0"/>
  </r>
  <r>
    <x v="76"/>
    <x v="76"/>
    <x v="2"/>
    <x v="75"/>
    <x v="0"/>
    <x v="2"/>
    <x v="0"/>
    <x v="1"/>
    <x v="1"/>
    <x v="0"/>
    <x v="0"/>
    <x v="2"/>
    <x v="2"/>
  </r>
  <r>
    <x v="77"/>
    <x v="77"/>
    <x v="1"/>
    <x v="76"/>
    <x v="1"/>
    <x v="1"/>
    <x v="2"/>
    <x v="1"/>
    <x v="1"/>
    <x v="1"/>
    <x v="1"/>
    <x v="1"/>
    <x v="1"/>
  </r>
  <r>
    <x v="78"/>
    <x v="78"/>
    <x v="0"/>
    <x v="77"/>
    <x v="0"/>
    <x v="0"/>
    <x v="0"/>
    <x v="0"/>
    <x v="0"/>
    <x v="0"/>
    <x v="0"/>
    <x v="3"/>
    <x v="3"/>
  </r>
  <r>
    <x v="79"/>
    <x v="79"/>
    <x v="2"/>
    <x v="78"/>
    <x v="1"/>
    <x v="2"/>
    <x v="1"/>
    <x v="1"/>
    <x v="1"/>
    <x v="0"/>
    <x v="0"/>
    <x v="6"/>
    <x v="7"/>
  </r>
  <r>
    <x v="80"/>
    <x v="80"/>
    <x v="1"/>
    <x v="79"/>
    <x v="0"/>
    <x v="1"/>
    <x v="0"/>
    <x v="1"/>
    <x v="1"/>
    <x v="1"/>
    <x v="1"/>
    <x v="4"/>
    <x v="4"/>
  </r>
  <r>
    <x v="81"/>
    <x v="81"/>
    <x v="0"/>
    <x v="80"/>
    <x v="1"/>
    <x v="0"/>
    <x v="2"/>
    <x v="0"/>
    <x v="0"/>
    <x v="0"/>
    <x v="0"/>
    <x v="10"/>
    <x v="12"/>
  </r>
  <r>
    <x v="82"/>
    <x v="82"/>
    <x v="2"/>
    <x v="81"/>
    <x v="0"/>
    <x v="2"/>
    <x v="0"/>
    <x v="1"/>
    <x v="1"/>
    <x v="0"/>
    <x v="0"/>
    <x v="2"/>
    <x v="2"/>
  </r>
  <r>
    <x v="83"/>
    <x v="83"/>
    <x v="1"/>
    <x v="82"/>
    <x v="1"/>
    <x v="1"/>
    <x v="1"/>
    <x v="1"/>
    <x v="1"/>
    <x v="1"/>
    <x v="1"/>
    <x v="1"/>
    <x v="1"/>
  </r>
  <r>
    <x v="84"/>
    <x v="84"/>
    <x v="0"/>
    <x v="83"/>
    <x v="0"/>
    <x v="0"/>
    <x v="0"/>
    <x v="0"/>
    <x v="0"/>
    <x v="0"/>
    <x v="0"/>
    <x v="7"/>
    <x v="8"/>
  </r>
  <r>
    <x v="85"/>
    <x v="85"/>
    <x v="2"/>
    <x v="84"/>
    <x v="1"/>
    <x v="2"/>
    <x v="2"/>
    <x v="1"/>
    <x v="1"/>
    <x v="0"/>
    <x v="0"/>
    <x v="6"/>
    <x v="7"/>
  </r>
  <r>
    <x v="86"/>
    <x v="86"/>
    <x v="1"/>
    <x v="85"/>
    <x v="0"/>
    <x v="1"/>
    <x v="0"/>
    <x v="1"/>
    <x v="1"/>
    <x v="1"/>
    <x v="1"/>
    <x v="4"/>
    <x v="4"/>
  </r>
  <r>
    <x v="87"/>
    <x v="87"/>
    <x v="0"/>
    <x v="86"/>
    <x v="1"/>
    <x v="0"/>
    <x v="1"/>
    <x v="0"/>
    <x v="0"/>
    <x v="0"/>
    <x v="0"/>
    <x v="3"/>
    <x v="3"/>
  </r>
  <r>
    <x v="88"/>
    <x v="88"/>
    <x v="2"/>
    <x v="87"/>
    <x v="0"/>
    <x v="2"/>
    <x v="0"/>
    <x v="1"/>
    <x v="1"/>
    <x v="0"/>
    <x v="0"/>
    <x v="2"/>
    <x v="2"/>
  </r>
  <r>
    <x v="89"/>
    <x v="89"/>
    <x v="1"/>
    <x v="88"/>
    <x v="1"/>
    <x v="1"/>
    <x v="2"/>
    <x v="1"/>
    <x v="1"/>
    <x v="1"/>
    <x v="1"/>
    <x v="1"/>
    <x v="1"/>
  </r>
  <r>
    <x v="90"/>
    <x v="90"/>
    <x v="0"/>
    <x v="89"/>
    <x v="0"/>
    <x v="0"/>
    <x v="0"/>
    <x v="0"/>
    <x v="0"/>
    <x v="0"/>
    <x v="0"/>
    <x v="0"/>
    <x v="0"/>
  </r>
  <r>
    <x v="91"/>
    <x v="91"/>
    <x v="2"/>
    <x v="90"/>
    <x v="1"/>
    <x v="2"/>
    <x v="1"/>
    <x v="1"/>
    <x v="1"/>
    <x v="0"/>
    <x v="0"/>
    <x v="6"/>
    <x v="7"/>
  </r>
  <r>
    <x v="92"/>
    <x v="92"/>
    <x v="1"/>
    <x v="91"/>
    <x v="0"/>
    <x v="1"/>
    <x v="0"/>
    <x v="1"/>
    <x v="1"/>
    <x v="1"/>
    <x v="1"/>
    <x v="4"/>
    <x v="4"/>
  </r>
  <r>
    <x v="93"/>
    <x v="93"/>
    <x v="0"/>
    <x v="92"/>
    <x v="1"/>
    <x v="0"/>
    <x v="2"/>
    <x v="0"/>
    <x v="0"/>
    <x v="0"/>
    <x v="0"/>
    <x v="7"/>
    <x v="8"/>
  </r>
  <r>
    <x v="94"/>
    <x v="94"/>
    <x v="2"/>
    <x v="93"/>
    <x v="0"/>
    <x v="2"/>
    <x v="2"/>
    <x v="1"/>
    <x v="1"/>
    <x v="0"/>
    <x v="0"/>
    <x v="6"/>
    <x v="7"/>
  </r>
  <r>
    <x v="95"/>
    <x v="95"/>
    <x v="1"/>
    <x v="94"/>
    <x v="1"/>
    <x v="1"/>
    <x v="1"/>
    <x v="1"/>
    <x v="1"/>
    <x v="1"/>
    <x v="1"/>
    <x v="1"/>
    <x v="1"/>
  </r>
  <r>
    <x v="96"/>
    <x v="96"/>
    <x v="0"/>
    <x v="95"/>
    <x v="0"/>
    <x v="0"/>
    <x v="0"/>
    <x v="0"/>
    <x v="0"/>
    <x v="0"/>
    <x v="0"/>
    <x v="10"/>
    <x v="12"/>
  </r>
  <r>
    <x v="97"/>
    <x v="97"/>
    <x v="2"/>
    <x v="96"/>
    <x v="1"/>
    <x v="2"/>
    <x v="1"/>
    <x v="1"/>
    <x v="1"/>
    <x v="0"/>
    <x v="0"/>
    <x v="2"/>
    <x v="2"/>
  </r>
  <r>
    <x v="98"/>
    <x v="98"/>
    <x v="1"/>
    <x v="97"/>
    <x v="0"/>
    <x v="1"/>
    <x v="2"/>
    <x v="1"/>
    <x v="1"/>
    <x v="1"/>
    <x v="1"/>
    <x v="4"/>
    <x v="4"/>
  </r>
  <r>
    <x v="99"/>
    <x v="99"/>
    <x v="0"/>
    <x v="98"/>
    <x v="1"/>
    <x v="0"/>
    <x v="0"/>
    <x v="0"/>
    <x v="0"/>
    <x v="0"/>
    <x v="0"/>
    <x v="6"/>
    <x v="14"/>
  </r>
  <r>
    <x v="100"/>
    <x v="100"/>
    <x v="2"/>
    <x v="99"/>
    <x v="0"/>
    <x v="2"/>
    <x v="0"/>
    <x v="1"/>
    <x v="1"/>
    <x v="0"/>
    <x v="0"/>
    <x v="0"/>
    <x v="13"/>
  </r>
  <r>
    <x v="101"/>
    <x v="101"/>
    <x v="1"/>
    <x v="100"/>
    <x v="1"/>
    <x v="1"/>
    <x v="1"/>
    <x v="1"/>
    <x v="1"/>
    <x v="1"/>
    <x v="1"/>
    <x v="1"/>
    <x v="1"/>
  </r>
  <r>
    <x v="102"/>
    <x v="102"/>
    <x v="0"/>
    <x v="101"/>
    <x v="0"/>
    <x v="0"/>
    <x v="2"/>
    <x v="0"/>
    <x v="0"/>
    <x v="0"/>
    <x v="0"/>
    <x v="7"/>
    <x v="8"/>
  </r>
  <r>
    <x v="103"/>
    <x v="103"/>
    <x v="2"/>
    <x v="102"/>
    <x v="1"/>
    <x v="2"/>
    <x v="2"/>
    <x v="1"/>
    <x v="1"/>
    <x v="0"/>
    <x v="0"/>
    <x v="9"/>
    <x v="10"/>
  </r>
  <r>
    <x v="104"/>
    <x v="104"/>
    <x v="1"/>
    <x v="103"/>
    <x v="0"/>
    <x v="1"/>
    <x v="0"/>
    <x v="1"/>
    <x v="1"/>
    <x v="1"/>
    <x v="1"/>
    <x v="5"/>
    <x v="11"/>
  </r>
  <r>
    <x v="105"/>
    <x v="105"/>
    <x v="1"/>
    <x v="104"/>
    <x v="0"/>
    <x v="1"/>
    <x v="0"/>
    <x v="1"/>
    <x v="1"/>
    <x v="1"/>
    <x v="1"/>
    <x v="1"/>
    <x v="1"/>
  </r>
  <r>
    <x v="106"/>
    <x v="106"/>
    <x v="0"/>
    <x v="105"/>
    <x v="1"/>
    <x v="0"/>
    <x v="2"/>
    <x v="0"/>
    <x v="0"/>
    <x v="0"/>
    <x v="0"/>
    <x v="10"/>
    <x v="12"/>
  </r>
  <r>
    <x v="107"/>
    <x v="107"/>
    <x v="2"/>
    <x v="106"/>
    <x v="0"/>
    <x v="2"/>
    <x v="1"/>
    <x v="1"/>
    <x v="1"/>
    <x v="0"/>
    <x v="0"/>
    <x v="2"/>
    <x v="2"/>
  </r>
  <r>
    <x v="108"/>
    <x v="108"/>
    <x v="1"/>
    <x v="107"/>
    <x v="1"/>
    <x v="1"/>
    <x v="2"/>
    <x v="1"/>
    <x v="1"/>
    <x v="1"/>
    <x v="1"/>
    <x v="4"/>
    <x v="4"/>
  </r>
  <r>
    <x v="109"/>
    <x v="109"/>
    <x v="0"/>
    <x v="108"/>
    <x v="0"/>
    <x v="0"/>
    <x v="0"/>
    <x v="0"/>
    <x v="0"/>
    <x v="0"/>
    <x v="0"/>
    <x v="6"/>
    <x v="14"/>
  </r>
  <r>
    <x v="110"/>
    <x v="110"/>
    <x v="2"/>
    <x v="109"/>
    <x v="1"/>
    <x v="2"/>
    <x v="0"/>
    <x v="1"/>
    <x v="1"/>
    <x v="0"/>
    <x v="0"/>
    <x v="0"/>
    <x v="13"/>
  </r>
  <r>
    <x v="111"/>
    <x v="111"/>
    <x v="1"/>
    <x v="110"/>
    <x v="0"/>
    <x v="1"/>
    <x v="1"/>
    <x v="1"/>
    <x v="1"/>
    <x v="1"/>
    <x v="1"/>
    <x v="1"/>
    <x v="1"/>
  </r>
  <r>
    <x v="112"/>
    <x v="112"/>
    <x v="0"/>
    <x v="111"/>
    <x v="1"/>
    <x v="0"/>
    <x v="2"/>
    <x v="0"/>
    <x v="0"/>
    <x v="0"/>
    <x v="0"/>
    <x v="7"/>
    <x v="8"/>
  </r>
  <r>
    <x v="113"/>
    <x v="113"/>
    <x v="2"/>
    <x v="112"/>
    <x v="0"/>
    <x v="2"/>
    <x v="2"/>
    <x v="1"/>
    <x v="1"/>
    <x v="0"/>
    <x v="0"/>
    <x v="9"/>
    <x v="10"/>
  </r>
  <r>
    <x v="114"/>
    <x v="114"/>
    <x v="1"/>
    <x v="113"/>
    <x v="1"/>
    <x v="1"/>
    <x v="0"/>
    <x v="1"/>
    <x v="1"/>
    <x v="1"/>
    <x v="1"/>
    <x v="5"/>
    <x v="11"/>
  </r>
  <r>
    <x v="115"/>
    <x v="115"/>
    <x v="0"/>
    <x v="114"/>
    <x v="0"/>
    <x v="0"/>
    <x v="1"/>
    <x v="0"/>
    <x v="0"/>
    <x v="0"/>
    <x v="0"/>
    <x v="0"/>
    <x v="0"/>
  </r>
  <r>
    <x v="116"/>
    <x v="116"/>
    <x v="2"/>
    <x v="115"/>
    <x v="1"/>
    <x v="2"/>
    <x v="0"/>
    <x v="1"/>
    <x v="1"/>
    <x v="0"/>
    <x v="0"/>
    <x v="2"/>
    <x v="2"/>
  </r>
  <r>
    <x v="117"/>
    <x v="117"/>
    <x v="1"/>
    <x v="116"/>
    <x v="0"/>
    <x v="1"/>
    <x v="2"/>
    <x v="1"/>
    <x v="1"/>
    <x v="1"/>
    <x v="1"/>
    <x v="1"/>
    <x v="1"/>
  </r>
  <r>
    <x v="118"/>
    <x v="93"/>
    <x v="0"/>
    <x v="117"/>
    <x v="1"/>
    <x v="0"/>
    <x v="0"/>
    <x v="0"/>
    <x v="0"/>
    <x v="0"/>
    <x v="0"/>
    <x v="3"/>
    <x v="3"/>
  </r>
  <r>
    <x v="119"/>
    <x v="118"/>
    <x v="2"/>
    <x v="118"/>
    <x v="0"/>
    <x v="2"/>
    <x v="1"/>
    <x v="1"/>
    <x v="1"/>
    <x v="0"/>
    <x v="0"/>
    <x v="6"/>
    <x v="7"/>
  </r>
  <r>
    <x v="120"/>
    <x v="119"/>
    <x v="1"/>
    <x v="119"/>
    <x v="1"/>
    <x v="1"/>
    <x v="0"/>
    <x v="1"/>
    <x v="1"/>
    <x v="1"/>
    <x v="1"/>
    <x v="4"/>
    <x v="4"/>
  </r>
  <r>
    <x v="121"/>
    <x v="120"/>
    <x v="0"/>
    <x v="120"/>
    <x v="0"/>
    <x v="0"/>
    <x v="2"/>
    <x v="0"/>
    <x v="0"/>
    <x v="0"/>
    <x v="0"/>
    <x v="10"/>
    <x v="12"/>
  </r>
  <r>
    <x v="122"/>
    <x v="121"/>
    <x v="2"/>
    <x v="121"/>
    <x v="1"/>
    <x v="2"/>
    <x v="0"/>
    <x v="1"/>
    <x v="1"/>
    <x v="0"/>
    <x v="0"/>
    <x v="2"/>
    <x v="2"/>
  </r>
  <r>
    <x v="123"/>
    <x v="122"/>
    <x v="1"/>
    <x v="122"/>
    <x v="0"/>
    <x v="1"/>
    <x v="1"/>
    <x v="1"/>
    <x v="1"/>
    <x v="1"/>
    <x v="1"/>
    <x v="1"/>
    <x v="1"/>
  </r>
  <r>
    <x v="124"/>
    <x v="123"/>
    <x v="0"/>
    <x v="123"/>
    <x v="1"/>
    <x v="0"/>
    <x v="0"/>
    <x v="0"/>
    <x v="0"/>
    <x v="0"/>
    <x v="0"/>
    <x v="7"/>
    <x v="8"/>
  </r>
  <r>
    <x v="125"/>
    <x v="124"/>
    <x v="2"/>
    <x v="124"/>
    <x v="0"/>
    <x v="2"/>
    <x v="2"/>
    <x v="1"/>
    <x v="1"/>
    <x v="0"/>
    <x v="0"/>
    <x v="6"/>
    <x v="7"/>
  </r>
  <r>
    <x v="126"/>
    <x v="125"/>
    <x v="1"/>
    <x v="125"/>
    <x v="1"/>
    <x v="1"/>
    <x v="0"/>
    <x v="1"/>
    <x v="1"/>
    <x v="1"/>
    <x v="1"/>
    <x v="4"/>
    <x v="4"/>
  </r>
  <r>
    <x v="127"/>
    <x v="126"/>
    <x v="0"/>
    <x v="126"/>
    <x v="0"/>
    <x v="0"/>
    <x v="1"/>
    <x v="0"/>
    <x v="0"/>
    <x v="0"/>
    <x v="0"/>
    <x v="3"/>
    <x v="3"/>
  </r>
  <r>
    <x v="128"/>
    <x v="127"/>
    <x v="2"/>
    <x v="127"/>
    <x v="1"/>
    <x v="2"/>
    <x v="0"/>
    <x v="1"/>
    <x v="1"/>
    <x v="0"/>
    <x v="0"/>
    <x v="2"/>
    <x v="2"/>
  </r>
  <r>
    <x v="129"/>
    <x v="128"/>
    <x v="1"/>
    <x v="128"/>
    <x v="0"/>
    <x v="1"/>
    <x v="2"/>
    <x v="1"/>
    <x v="1"/>
    <x v="1"/>
    <x v="1"/>
    <x v="1"/>
    <x v="1"/>
  </r>
  <r>
    <x v="130"/>
    <x v="129"/>
    <x v="0"/>
    <x v="129"/>
    <x v="1"/>
    <x v="0"/>
    <x v="0"/>
    <x v="0"/>
    <x v="0"/>
    <x v="0"/>
    <x v="0"/>
    <x v="6"/>
    <x v="14"/>
  </r>
  <r>
    <x v="131"/>
    <x v="130"/>
    <x v="2"/>
    <x v="130"/>
    <x v="0"/>
    <x v="2"/>
    <x v="1"/>
    <x v="1"/>
    <x v="1"/>
    <x v="0"/>
    <x v="0"/>
    <x v="6"/>
    <x v="7"/>
  </r>
  <r>
    <x v="132"/>
    <x v="131"/>
    <x v="1"/>
    <x v="131"/>
    <x v="1"/>
    <x v="1"/>
    <x v="0"/>
    <x v="1"/>
    <x v="1"/>
    <x v="1"/>
    <x v="1"/>
    <x v="4"/>
    <x v="4"/>
  </r>
  <r>
    <x v="133"/>
    <x v="132"/>
    <x v="0"/>
    <x v="132"/>
    <x v="0"/>
    <x v="0"/>
    <x v="2"/>
    <x v="0"/>
    <x v="0"/>
    <x v="0"/>
    <x v="0"/>
    <x v="10"/>
    <x v="12"/>
  </r>
  <r>
    <x v="134"/>
    <x v="133"/>
    <x v="2"/>
    <x v="133"/>
    <x v="1"/>
    <x v="2"/>
    <x v="0"/>
    <x v="1"/>
    <x v="1"/>
    <x v="0"/>
    <x v="0"/>
    <x v="2"/>
    <x v="2"/>
  </r>
  <r>
    <x v="135"/>
    <x v="134"/>
    <x v="1"/>
    <x v="134"/>
    <x v="0"/>
    <x v="1"/>
    <x v="0"/>
    <x v="1"/>
    <x v="1"/>
    <x v="1"/>
    <x v="1"/>
    <x v="1"/>
    <x v="1"/>
  </r>
  <r>
    <x v="136"/>
    <x v="135"/>
    <x v="0"/>
    <x v="135"/>
    <x v="1"/>
    <x v="0"/>
    <x v="2"/>
    <x v="0"/>
    <x v="0"/>
    <x v="0"/>
    <x v="0"/>
    <x v="10"/>
    <x v="12"/>
  </r>
  <r>
    <x v="137"/>
    <x v="136"/>
    <x v="2"/>
    <x v="136"/>
    <x v="0"/>
    <x v="2"/>
    <x v="1"/>
    <x v="1"/>
    <x v="1"/>
    <x v="0"/>
    <x v="0"/>
    <x v="2"/>
    <x v="2"/>
  </r>
  <r>
    <x v="138"/>
    <x v="137"/>
    <x v="1"/>
    <x v="137"/>
    <x v="1"/>
    <x v="1"/>
    <x v="2"/>
    <x v="1"/>
    <x v="1"/>
    <x v="1"/>
    <x v="1"/>
    <x v="4"/>
    <x v="4"/>
  </r>
  <r>
    <x v="139"/>
    <x v="138"/>
    <x v="0"/>
    <x v="138"/>
    <x v="0"/>
    <x v="0"/>
    <x v="0"/>
    <x v="0"/>
    <x v="0"/>
    <x v="0"/>
    <x v="0"/>
    <x v="6"/>
    <x v="14"/>
  </r>
  <r>
    <x v="140"/>
    <x v="139"/>
    <x v="2"/>
    <x v="139"/>
    <x v="1"/>
    <x v="2"/>
    <x v="0"/>
    <x v="1"/>
    <x v="1"/>
    <x v="0"/>
    <x v="0"/>
    <x v="0"/>
    <x v="13"/>
  </r>
  <r>
    <x v="141"/>
    <x v="140"/>
    <x v="1"/>
    <x v="140"/>
    <x v="0"/>
    <x v="1"/>
    <x v="1"/>
    <x v="1"/>
    <x v="1"/>
    <x v="1"/>
    <x v="1"/>
    <x v="1"/>
    <x v="1"/>
  </r>
  <r>
    <x v="142"/>
    <x v="141"/>
    <x v="0"/>
    <x v="141"/>
    <x v="1"/>
    <x v="0"/>
    <x v="2"/>
    <x v="0"/>
    <x v="0"/>
    <x v="0"/>
    <x v="0"/>
    <x v="7"/>
    <x v="8"/>
  </r>
  <r>
    <x v="143"/>
    <x v="142"/>
    <x v="2"/>
    <x v="142"/>
    <x v="0"/>
    <x v="2"/>
    <x v="2"/>
    <x v="1"/>
    <x v="1"/>
    <x v="0"/>
    <x v="0"/>
    <x v="9"/>
    <x v="10"/>
  </r>
  <r>
    <x v="144"/>
    <x v="143"/>
    <x v="1"/>
    <x v="143"/>
    <x v="1"/>
    <x v="1"/>
    <x v="0"/>
    <x v="1"/>
    <x v="1"/>
    <x v="1"/>
    <x v="1"/>
    <x v="5"/>
    <x v="11"/>
  </r>
  <r>
    <x v="145"/>
    <x v="144"/>
    <x v="0"/>
    <x v="144"/>
    <x v="0"/>
    <x v="0"/>
    <x v="1"/>
    <x v="0"/>
    <x v="0"/>
    <x v="0"/>
    <x v="0"/>
    <x v="0"/>
    <x v="0"/>
  </r>
  <r>
    <x v="146"/>
    <x v="145"/>
    <x v="2"/>
    <x v="145"/>
    <x v="1"/>
    <x v="2"/>
    <x v="0"/>
    <x v="1"/>
    <x v="1"/>
    <x v="0"/>
    <x v="0"/>
    <x v="2"/>
    <x v="2"/>
  </r>
  <r>
    <x v="147"/>
    <x v="146"/>
    <x v="1"/>
    <x v="146"/>
    <x v="0"/>
    <x v="1"/>
    <x v="2"/>
    <x v="1"/>
    <x v="1"/>
    <x v="1"/>
    <x v="1"/>
    <x v="1"/>
    <x v="1"/>
  </r>
  <r>
    <x v="148"/>
    <x v="147"/>
    <x v="0"/>
    <x v="147"/>
    <x v="1"/>
    <x v="0"/>
    <x v="0"/>
    <x v="0"/>
    <x v="0"/>
    <x v="0"/>
    <x v="0"/>
    <x v="3"/>
    <x v="3"/>
  </r>
  <r>
    <x v="149"/>
    <x v="148"/>
    <x v="2"/>
    <x v="148"/>
    <x v="0"/>
    <x v="2"/>
    <x v="1"/>
    <x v="1"/>
    <x v="1"/>
    <x v="0"/>
    <x v="0"/>
    <x v="6"/>
    <x v="7"/>
  </r>
  <r>
    <x v="150"/>
    <x v="149"/>
    <x v="1"/>
    <x v="149"/>
    <x v="1"/>
    <x v="1"/>
    <x v="0"/>
    <x v="1"/>
    <x v="1"/>
    <x v="1"/>
    <x v="1"/>
    <x v="4"/>
    <x v="4"/>
  </r>
  <r>
    <x v="151"/>
    <x v="150"/>
    <x v="0"/>
    <x v="150"/>
    <x v="0"/>
    <x v="0"/>
    <x v="2"/>
    <x v="0"/>
    <x v="0"/>
    <x v="0"/>
    <x v="0"/>
    <x v="10"/>
    <x v="12"/>
  </r>
  <r>
    <x v="152"/>
    <x v="151"/>
    <x v="2"/>
    <x v="151"/>
    <x v="1"/>
    <x v="2"/>
    <x v="0"/>
    <x v="1"/>
    <x v="1"/>
    <x v="0"/>
    <x v="0"/>
    <x v="2"/>
    <x v="2"/>
  </r>
  <r>
    <x v="153"/>
    <x v="152"/>
    <x v="1"/>
    <x v="152"/>
    <x v="0"/>
    <x v="1"/>
    <x v="1"/>
    <x v="1"/>
    <x v="1"/>
    <x v="1"/>
    <x v="1"/>
    <x v="1"/>
    <x v="1"/>
  </r>
  <r>
    <x v="154"/>
    <x v="153"/>
    <x v="0"/>
    <x v="153"/>
    <x v="1"/>
    <x v="0"/>
    <x v="0"/>
    <x v="0"/>
    <x v="0"/>
    <x v="0"/>
    <x v="0"/>
    <x v="7"/>
    <x v="8"/>
  </r>
  <r>
    <x v="155"/>
    <x v="154"/>
    <x v="2"/>
    <x v="154"/>
    <x v="0"/>
    <x v="2"/>
    <x v="2"/>
    <x v="1"/>
    <x v="1"/>
    <x v="0"/>
    <x v="0"/>
    <x v="6"/>
    <x v="7"/>
  </r>
  <r>
    <x v="156"/>
    <x v="155"/>
    <x v="1"/>
    <x v="155"/>
    <x v="1"/>
    <x v="1"/>
    <x v="0"/>
    <x v="1"/>
    <x v="1"/>
    <x v="1"/>
    <x v="1"/>
    <x v="4"/>
    <x v="4"/>
  </r>
  <r>
    <x v="157"/>
    <x v="156"/>
    <x v="0"/>
    <x v="156"/>
    <x v="0"/>
    <x v="0"/>
    <x v="1"/>
    <x v="0"/>
    <x v="0"/>
    <x v="0"/>
    <x v="0"/>
    <x v="3"/>
    <x v="3"/>
  </r>
  <r>
    <x v="158"/>
    <x v="157"/>
    <x v="2"/>
    <x v="157"/>
    <x v="1"/>
    <x v="2"/>
    <x v="0"/>
    <x v="1"/>
    <x v="1"/>
    <x v="0"/>
    <x v="0"/>
    <x v="2"/>
    <x v="2"/>
  </r>
  <r>
    <x v="159"/>
    <x v="158"/>
    <x v="1"/>
    <x v="158"/>
    <x v="0"/>
    <x v="1"/>
    <x v="2"/>
    <x v="1"/>
    <x v="1"/>
    <x v="1"/>
    <x v="1"/>
    <x v="1"/>
    <x v="1"/>
  </r>
  <r>
    <x v="160"/>
    <x v="58"/>
    <x v="0"/>
    <x v="159"/>
    <x v="1"/>
    <x v="0"/>
    <x v="0"/>
    <x v="0"/>
    <x v="0"/>
    <x v="0"/>
    <x v="0"/>
    <x v="6"/>
    <x v="14"/>
  </r>
  <r>
    <x v="161"/>
    <x v="159"/>
    <x v="2"/>
    <x v="160"/>
    <x v="0"/>
    <x v="2"/>
    <x v="1"/>
    <x v="1"/>
    <x v="1"/>
    <x v="0"/>
    <x v="0"/>
    <x v="6"/>
    <x v="7"/>
  </r>
  <r>
    <x v="162"/>
    <x v="160"/>
    <x v="1"/>
    <x v="161"/>
    <x v="1"/>
    <x v="1"/>
    <x v="0"/>
    <x v="1"/>
    <x v="1"/>
    <x v="1"/>
    <x v="1"/>
    <x v="4"/>
    <x v="4"/>
  </r>
  <r>
    <x v="163"/>
    <x v="161"/>
    <x v="0"/>
    <x v="162"/>
    <x v="0"/>
    <x v="0"/>
    <x v="2"/>
    <x v="0"/>
    <x v="0"/>
    <x v="0"/>
    <x v="0"/>
    <x v="10"/>
    <x v="12"/>
  </r>
  <r>
    <x v="164"/>
    <x v="162"/>
    <x v="2"/>
    <x v="163"/>
    <x v="1"/>
    <x v="2"/>
    <x v="0"/>
    <x v="1"/>
    <x v="1"/>
    <x v="0"/>
    <x v="0"/>
    <x v="2"/>
    <x v="2"/>
  </r>
  <r>
    <x v="165"/>
    <x v="163"/>
    <x v="1"/>
    <x v="164"/>
    <x v="0"/>
    <x v="1"/>
    <x v="1"/>
    <x v="1"/>
    <x v="1"/>
    <x v="1"/>
    <x v="1"/>
    <x v="1"/>
    <x v="1"/>
  </r>
  <r>
    <x v="166"/>
    <x v="90"/>
    <x v="0"/>
    <x v="165"/>
    <x v="1"/>
    <x v="0"/>
    <x v="0"/>
    <x v="0"/>
    <x v="0"/>
    <x v="0"/>
    <x v="0"/>
    <x v="7"/>
    <x v="8"/>
  </r>
  <r>
    <x v="167"/>
    <x v="164"/>
    <x v="2"/>
    <x v="166"/>
    <x v="0"/>
    <x v="2"/>
    <x v="2"/>
    <x v="1"/>
    <x v="1"/>
    <x v="0"/>
    <x v="0"/>
    <x v="6"/>
    <x v="7"/>
  </r>
  <r>
    <x v="168"/>
    <x v="165"/>
    <x v="1"/>
    <x v="167"/>
    <x v="1"/>
    <x v="1"/>
    <x v="0"/>
    <x v="1"/>
    <x v="1"/>
    <x v="1"/>
    <x v="1"/>
    <x v="4"/>
    <x v="4"/>
  </r>
  <r>
    <x v="169"/>
    <x v="166"/>
    <x v="0"/>
    <x v="168"/>
    <x v="0"/>
    <x v="0"/>
    <x v="1"/>
    <x v="0"/>
    <x v="0"/>
    <x v="0"/>
    <x v="0"/>
    <x v="0"/>
    <x v="0"/>
  </r>
  <r>
    <x v="170"/>
    <x v="167"/>
    <x v="2"/>
    <x v="169"/>
    <x v="1"/>
    <x v="2"/>
    <x v="0"/>
    <x v="1"/>
    <x v="1"/>
    <x v="0"/>
    <x v="0"/>
    <x v="2"/>
    <x v="2"/>
  </r>
  <r>
    <x v="171"/>
    <x v="168"/>
    <x v="1"/>
    <x v="170"/>
    <x v="0"/>
    <x v="1"/>
    <x v="2"/>
    <x v="1"/>
    <x v="1"/>
    <x v="1"/>
    <x v="1"/>
    <x v="1"/>
    <x v="1"/>
  </r>
  <r>
    <x v="172"/>
    <x v="169"/>
    <x v="0"/>
    <x v="171"/>
    <x v="1"/>
    <x v="0"/>
    <x v="0"/>
    <x v="0"/>
    <x v="0"/>
    <x v="0"/>
    <x v="0"/>
    <x v="3"/>
    <x v="3"/>
  </r>
  <r>
    <x v="173"/>
    <x v="170"/>
    <x v="2"/>
    <x v="172"/>
    <x v="0"/>
    <x v="2"/>
    <x v="1"/>
    <x v="1"/>
    <x v="1"/>
    <x v="0"/>
    <x v="0"/>
    <x v="6"/>
    <x v="7"/>
  </r>
  <r>
    <x v="174"/>
    <x v="171"/>
    <x v="1"/>
    <x v="173"/>
    <x v="1"/>
    <x v="1"/>
    <x v="0"/>
    <x v="1"/>
    <x v="1"/>
    <x v="1"/>
    <x v="1"/>
    <x v="4"/>
    <x v="4"/>
  </r>
  <r>
    <x v="175"/>
    <x v="172"/>
    <x v="1"/>
    <x v="174"/>
    <x v="0"/>
    <x v="1"/>
    <x v="0"/>
    <x v="1"/>
    <x v="1"/>
    <x v="1"/>
    <x v="1"/>
    <x v="1"/>
    <x v="1"/>
  </r>
  <r>
    <x v="176"/>
    <x v="173"/>
    <x v="0"/>
    <x v="175"/>
    <x v="1"/>
    <x v="0"/>
    <x v="2"/>
    <x v="0"/>
    <x v="0"/>
    <x v="0"/>
    <x v="0"/>
    <x v="10"/>
    <x v="12"/>
  </r>
  <r>
    <x v="177"/>
    <x v="174"/>
    <x v="2"/>
    <x v="176"/>
    <x v="0"/>
    <x v="2"/>
    <x v="1"/>
    <x v="1"/>
    <x v="1"/>
    <x v="0"/>
    <x v="0"/>
    <x v="2"/>
    <x v="2"/>
  </r>
  <r>
    <x v="178"/>
    <x v="175"/>
    <x v="1"/>
    <x v="177"/>
    <x v="1"/>
    <x v="1"/>
    <x v="2"/>
    <x v="1"/>
    <x v="1"/>
    <x v="1"/>
    <x v="1"/>
    <x v="4"/>
    <x v="4"/>
  </r>
  <r>
    <x v="179"/>
    <x v="176"/>
    <x v="0"/>
    <x v="178"/>
    <x v="0"/>
    <x v="0"/>
    <x v="0"/>
    <x v="0"/>
    <x v="0"/>
    <x v="0"/>
    <x v="0"/>
    <x v="6"/>
    <x v="14"/>
  </r>
  <r>
    <x v="180"/>
    <x v="177"/>
    <x v="2"/>
    <x v="179"/>
    <x v="1"/>
    <x v="2"/>
    <x v="0"/>
    <x v="1"/>
    <x v="1"/>
    <x v="0"/>
    <x v="0"/>
    <x v="0"/>
    <x v="13"/>
  </r>
  <r>
    <x v="181"/>
    <x v="178"/>
    <x v="1"/>
    <x v="180"/>
    <x v="0"/>
    <x v="1"/>
    <x v="1"/>
    <x v="1"/>
    <x v="1"/>
    <x v="1"/>
    <x v="1"/>
    <x v="1"/>
    <x v="1"/>
  </r>
  <r>
    <x v="182"/>
    <x v="179"/>
    <x v="0"/>
    <x v="181"/>
    <x v="1"/>
    <x v="0"/>
    <x v="2"/>
    <x v="0"/>
    <x v="0"/>
    <x v="0"/>
    <x v="0"/>
    <x v="7"/>
    <x v="8"/>
  </r>
  <r>
    <x v="183"/>
    <x v="180"/>
    <x v="2"/>
    <x v="182"/>
    <x v="0"/>
    <x v="2"/>
    <x v="2"/>
    <x v="1"/>
    <x v="1"/>
    <x v="0"/>
    <x v="0"/>
    <x v="9"/>
    <x v="10"/>
  </r>
  <r>
    <x v="184"/>
    <x v="181"/>
    <x v="1"/>
    <x v="183"/>
    <x v="1"/>
    <x v="1"/>
    <x v="0"/>
    <x v="1"/>
    <x v="1"/>
    <x v="1"/>
    <x v="1"/>
    <x v="5"/>
    <x v="11"/>
  </r>
  <r>
    <x v="185"/>
    <x v="182"/>
    <x v="0"/>
    <x v="184"/>
    <x v="0"/>
    <x v="0"/>
    <x v="1"/>
    <x v="0"/>
    <x v="0"/>
    <x v="0"/>
    <x v="0"/>
    <x v="0"/>
    <x v="0"/>
  </r>
  <r>
    <x v="186"/>
    <x v="183"/>
    <x v="2"/>
    <x v="185"/>
    <x v="1"/>
    <x v="2"/>
    <x v="0"/>
    <x v="1"/>
    <x v="1"/>
    <x v="0"/>
    <x v="0"/>
    <x v="2"/>
    <x v="2"/>
  </r>
  <r>
    <x v="187"/>
    <x v="184"/>
    <x v="1"/>
    <x v="186"/>
    <x v="0"/>
    <x v="1"/>
    <x v="2"/>
    <x v="1"/>
    <x v="1"/>
    <x v="1"/>
    <x v="1"/>
    <x v="1"/>
    <x v="1"/>
  </r>
  <r>
    <x v="188"/>
    <x v="185"/>
    <x v="0"/>
    <x v="187"/>
    <x v="1"/>
    <x v="0"/>
    <x v="0"/>
    <x v="0"/>
    <x v="0"/>
    <x v="0"/>
    <x v="0"/>
    <x v="3"/>
    <x v="3"/>
  </r>
  <r>
    <x v="189"/>
    <x v="186"/>
    <x v="2"/>
    <x v="188"/>
    <x v="0"/>
    <x v="2"/>
    <x v="1"/>
    <x v="1"/>
    <x v="1"/>
    <x v="0"/>
    <x v="0"/>
    <x v="6"/>
    <x v="7"/>
  </r>
  <r>
    <x v="190"/>
    <x v="15"/>
    <x v="1"/>
    <x v="189"/>
    <x v="1"/>
    <x v="1"/>
    <x v="0"/>
    <x v="1"/>
    <x v="1"/>
    <x v="1"/>
    <x v="1"/>
    <x v="4"/>
    <x v="4"/>
  </r>
  <r>
    <x v="191"/>
    <x v="187"/>
    <x v="0"/>
    <x v="190"/>
    <x v="0"/>
    <x v="0"/>
    <x v="2"/>
    <x v="0"/>
    <x v="0"/>
    <x v="0"/>
    <x v="0"/>
    <x v="10"/>
    <x v="12"/>
  </r>
  <r>
    <x v="192"/>
    <x v="188"/>
    <x v="2"/>
    <x v="191"/>
    <x v="1"/>
    <x v="2"/>
    <x v="0"/>
    <x v="1"/>
    <x v="1"/>
    <x v="0"/>
    <x v="0"/>
    <x v="2"/>
    <x v="2"/>
  </r>
  <r>
    <x v="193"/>
    <x v="14"/>
    <x v="1"/>
    <x v="192"/>
    <x v="0"/>
    <x v="1"/>
    <x v="1"/>
    <x v="1"/>
    <x v="1"/>
    <x v="1"/>
    <x v="1"/>
    <x v="1"/>
    <x v="1"/>
  </r>
  <r>
    <x v="194"/>
    <x v="189"/>
    <x v="0"/>
    <x v="193"/>
    <x v="1"/>
    <x v="0"/>
    <x v="0"/>
    <x v="0"/>
    <x v="0"/>
    <x v="0"/>
    <x v="0"/>
    <x v="7"/>
    <x v="8"/>
  </r>
  <r>
    <x v="195"/>
    <x v="167"/>
    <x v="2"/>
    <x v="194"/>
    <x v="0"/>
    <x v="2"/>
    <x v="2"/>
    <x v="1"/>
    <x v="1"/>
    <x v="0"/>
    <x v="0"/>
    <x v="6"/>
    <x v="7"/>
  </r>
  <r>
    <x v="196"/>
    <x v="190"/>
    <x v="1"/>
    <x v="195"/>
    <x v="1"/>
    <x v="1"/>
    <x v="0"/>
    <x v="1"/>
    <x v="1"/>
    <x v="1"/>
    <x v="1"/>
    <x v="4"/>
    <x v="4"/>
  </r>
  <r>
    <x v="197"/>
    <x v="191"/>
    <x v="0"/>
    <x v="196"/>
    <x v="0"/>
    <x v="0"/>
    <x v="1"/>
    <x v="0"/>
    <x v="0"/>
    <x v="0"/>
    <x v="0"/>
    <x v="3"/>
    <x v="3"/>
  </r>
  <r>
    <x v="198"/>
    <x v="192"/>
    <x v="2"/>
    <x v="197"/>
    <x v="1"/>
    <x v="2"/>
    <x v="0"/>
    <x v="1"/>
    <x v="1"/>
    <x v="0"/>
    <x v="0"/>
    <x v="2"/>
    <x v="2"/>
  </r>
  <r>
    <x v="199"/>
    <x v="193"/>
    <x v="1"/>
    <x v="198"/>
    <x v="0"/>
    <x v="1"/>
    <x v="2"/>
    <x v="1"/>
    <x v="1"/>
    <x v="1"/>
    <x v="1"/>
    <x v="1"/>
    <x v="1"/>
  </r>
  <r>
    <x v="200"/>
    <x v="194"/>
    <x v="0"/>
    <x v="199"/>
    <x v="1"/>
    <x v="0"/>
    <x v="0"/>
    <x v="0"/>
    <x v="0"/>
    <x v="0"/>
    <x v="0"/>
    <x v="6"/>
    <x v="14"/>
  </r>
  <r>
    <x v="201"/>
    <x v="195"/>
    <x v="2"/>
    <x v="200"/>
    <x v="0"/>
    <x v="2"/>
    <x v="1"/>
    <x v="1"/>
    <x v="1"/>
    <x v="0"/>
    <x v="0"/>
    <x v="6"/>
    <x v="7"/>
  </r>
  <r>
    <x v="202"/>
    <x v="196"/>
    <x v="1"/>
    <x v="201"/>
    <x v="1"/>
    <x v="1"/>
    <x v="0"/>
    <x v="1"/>
    <x v="1"/>
    <x v="1"/>
    <x v="1"/>
    <x v="4"/>
    <x v="4"/>
  </r>
  <r>
    <x v="203"/>
    <x v="197"/>
    <x v="0"/>
    <x v="202"/>
    <x v="0"/>
    <x v="0"/>
    <x v="2"/>
    <x v="0"/>
    <x v="0"/>
    <x v="0"/>
    <x v="0"/>
    <x v="10"/>
    <x v="12"/>
  </r>
  <r>
    <x v="204"/>
    <x v="198"/>
    <x v="2"/>
    <x v="203"/>
    <x v="1"/>
    <x v="2"/>
    <x v="0"/>
    <x v="1"/>
    <x v="1"/>
    <x v="0"/>
    <x v="0"/>
    <x v="2"/>
    <x v="2"/>
  </r>
  <r>
    <x v="205"/>
    <x v="199"/>
    <x v="1"/>
    <x v="204"/>
    <x v="0"/>
    <x v="1"/>
    <x v="0"/>
    <x v="1"/>
    <x v="1"/>
    <x v="1"/>
    <x v="1"/>
    <x v="1"/>
    <x v="1"/>
  </r>
  <r>
    <x v="206"/>
    <x v="200"/>
    <x v="0"/>
    <x v="205"/>
    <x v="1"/>
    <x v="0"/>
    <x v="2"/>
    <x v="0"/>
    <x v="0"/>
    <x v="0"/>
    <x v="0"/>
    <x v="10"/>
    <x v="12"/>
  </r>
  <r>
    <x v="207"/>
    <x v="201"/>
    <x v="2"/>
    <x v="206"/>
    <x v="0"/>
    <x v="2"/>
    <x v="1"/>
    <x v="1"/>
    <x v="1"/>
    <x v="0"/>
    <x v="0"/>
    <x v="2"/>
    <x v="2"/>
  </r>
  <r>
    <x v="208"/>
    <x v="202"/>
    <x v="1"/>
    <x v="207"/>
    <x v="1"/>
    <x v="1"/>
    <x v="2"/>
    <x v="1"/>
    <x v="1"/>
    <x v="1"/>
    <x v="1"/>
    <x v="4"/>
    <x v="4"/>
  </r>
  <r>
    <x v="209"/>
    <x v="203"/>
    <x v="0"/>
    <x v="208"/>
    <x v="0"/>
    <x v="0"/>
    <x v="0"/>
    <x v="0"/>
    <x v="0"/>
    <x v="0"/>
    <x v="0"/>
    <x v="6"/>
    <x v="14"/>
  </r>
  <r>
    <x v="210"/>
    <x v="204"/>
    <x v="2"/>
    <x v="209"/>
    <x v="1"/>
    <x v="2"/>
    <x v="0"/>
    <x v="1"/>
    <x v="1"/>
    <x v="0"/>
    <x v="0"/>
    <x v="0"/>
    <x v="13"/>
  </r>
  <r>
    <x v="211"/>
    <x v="205"/>
    <x v="1"/>
    <x v="210"/>
    <x v="0"/>
    <x v="1"/>
    <x v="1"/>
    <x v="1"/>
    <x v="1"/>
    <x v="1"/>
    <x v="1"/>
    <x v="1"/>
    <x v="1"/>
  </r>
  <r>
    <x v="212"/>
    <x v="206"/>
    <x v="0"/>
    <x v="211"/>
    <x v="1"/>
    <x v="0"/>
    <x v="2"/>
    <x v="0"/>
    <x v="0"/>
    <x v="0"/>
    <x v="0"/>
    <x v="7"/>
    <x v="8"/>
  </r>
  <r>
    <x v="213"/>
    <x v="207"/>
    <x v="2"/>
    <x v="212"/>
    <x v="0"/>
    <x v="2"/>
    <x v="2"/>
    <x v="1"/>
    <x v="1"/>
    <x v="0"/>
    <x v="0"/>
    <x v="9"/>
    <x v="10"/>
  </r>
  <r>
    <x v="214"/>
    <x v="37"/>
    <x v="1"/>
    <x v="213"/>
    <x v="1"/>
    <x v="1"/>
    <x v="0"/>
    <x v="1"/>
    <x v="1"/>
    <x v="1"/>
    <x v="1"/>
    <x v="5"/>
    <x v="11"/>
  </r>
  <r>
    <x v="215"/>
    <x v="208"/>
    <x v="0"/>
    <x v="214"/>
    <x v="0"/>
    <x v="0"/>
    <x v="1"/>
    <x v="0"/>
    <x v="0"/>
    <x v="0"/>
    <x v="0"/>
    <x v="0"/>
    <x v="0"/>
  </r>
  <r>
    <x v="216"/>
    <x v="209"/>
    <x v="2"/>
    <x v="215"/>
    <x v="1"/>
    <x v="2"/>
    <x v="0"/>
    <x v="1"/>
    <x v="1"/>
    <x v="0"/>
    <x v="0"/>
    <x v="2"/>
    <x v="2"/>
  </r>
  <r>
    <x v="217"/>
    <x v="210"/>
    <x v="1"/>
    <x v="216"/>
    <x v="0"/>
    <x v="1"/>
    <x v="2"/>
    <x v="1"/>
    <x v="1"/>
    <x v="1"/>
    <x v="1"/>
    <x v="1"/>
    <x v="1"/>
  </r>
  <r>
    <x v="218"/>
    <x v="211"/>
    <x v="0"/>
    <x v="217"/>
    <x v="1"/>
    <x v="0"/>
    <x v="0"/>
    <x v="0"/>
    <x v="0"/>
    <x v="0"/>
    <x v="0"/>
    <x v="3"/>
    <x v="3"/>
  </r>
  <r>
    <x v="219"/>
    <x v="212"/>
    <x v="2"/>
    <x v="218"/>
    <x v="0"/>
    <x v="2"/>
    <x v="1"/>
    <x v="1"/>
    <x v="1"/>
    <x v="0"/>
    <x v="0"/>
    <x v="6"/>
    <x v="7"/>
  </r>
  <r>
    <x v="220"/>
    <x v="213"/>
    <x v="1"/>
    <x v="219"/>
    <x v="1"/>
    <x v="1"/>
    <x v="0"/>
    <x v="1"/>
    <x v="1"/>
    <x v="1"/>
    <x v="1"/>
    <x v="4"/>
    <x v="4"/>
  </r>
  <r>
    <x v="221"/>
    <x v="191"/>
    <x v="0"/>
    <x v="220"/>
    <x v="0"/>
    <x v="0"/>
    <x v="2"/>
    <x v="0"/>
    <x v="0"/>
    <x v="0"/>
    <x v="0"/>
    <x v="10"/>
    <x v="12"/>
  </r>
  <r>
    <x v="222"/>
    <x v="45"/>
    <x v="2"/>
    <x v="221"/>
    <x v="1"/>
    <x v="2"/>
    <x v="0"/>
    <x v="1"/>
    <x v="1"/>
    <x v="0"/>
    <x v="0"/>
    <x v="2"/>
    <x v="2"/>
  </r>
  <r>
    <x v="223"/>
    <x v="214"/>
    <x v="1"/>
    <x v="222"/>
    <x v="0"/>
    <x v="1"/>
    <x v="1"/>
    <x v="1"/>
    <x v="1"/>
    <x v="1"/>
    <x v="1"/>
    <x v="1"/>
    <x v="1"/>
  </r>
  <r>
    <x v="224"/>
    <x v="215"/>
    <x v="0"/>
    <x v="223"/>
    <x v="1"/>
    <x v="0"/>
    <x v="0"/>
    <x v="0"/>
    <x v="0"/>
    <x v="0"/>
    <x v="0"/>
    <x v="7"/>
    <x v="8"/>
  </r>
  <r>
    <x v="225"/>
    <x v="216"/>
    <x v="2"/>
    <x v="224"/>
    <x v="0"/>
    <x v="2"/>
    <x v="2"/>
    <x v="1"/>
    <x v="1"/>
    <x v="0"/>
    <x v="0"/>
    <x v="6"/>
    <x v="7"/>
  </r>
  <r>
    <x v="226"/>
    <x v="217"/>
    <x v="1"/>
    <x v="225"/>
    <x v="1"/>
    <x v="1"/>
    <x v="0"/>
    <x v="1"/>
    <x v="1"/>
    <x v="1"/>
    <x v="1"/>
    <x v="4"/>
    <x v="4"/>
  </r>
  <r>
    <x v="227"/>
    <x v="218"/>
    <x v="0"/>
    <x v="226"/>
    <x v="0"/>
    <x v="0"/>
    <x v="1"/>
    <x v="0"/>
    <x v="0"/>
    <x v="0"/>
    <x v="0"/>
    <x v="3"/>
    <x v="3"/>
  </r>
  <r>
    <x v="228"/>
    <x v="219"/>
    <x v="2"/>
    <x v="227"/>
    <x v="1"/>
    <x v="2"/>
    <x v="0"/>
    <x v="1"/>
    <x v="1"/>
    <x v="0"/>
    <x v="0"/>
    <x v="2"/>
    <x v="2"/>
  </r>
  <r>
    <x v="229"/>
    <x v="127"/>
    <x v="1"/>
    <x v="228"/>
    <x v="0"/>
    <x v="1"/>
    <x v="2"/>
    <x v="1"/>
    <x v="1"/>
    <x v="1"/>
    <x v="1"/>
    <x v="1"/>
    <x v="1"/>
  </r>
  <r>
    <x v="230"/>
    <x v="220"/>
    <x v="0"/>
    <x v="229"/>
    <x v="1"/>
    <x v="0"/>
    <x v="0"/>
    <x v="0"/>
    <x v="0"/>
    <x v="0"/>
    <x v="0"/>
    <x v="6"/>
    <x v="14"/>
  </r>
  <r>
    <x v="231"/>
    <x v="221"/>
    <x v="2"/>
    <x v="230"/>
    <x v="0"/>
    <x v="2"/>
    <x v="1"/>
    <x v="1"/>
    <x v="1"/>
    <x v="0"/>
    <x v="0"/>
    <x v="6"/>
    <x v="7"/>
  </r>
  <r>
    <x v="232"/>
    <x v="222"/>
    <x v="1"/>
    <x v="231"/>
    <x v="1"/>
    <x v="1"/>
    <x v="0"/>
    <x v="1"/>
    <x v="1"/>
    <x v="1"/>
    <x v="1"/>
    <x v="4"/>
    <x v="4"/>
  </r>
  <r>
    <x v="233"/>
    <x v="223"/>
    <x v="0"/>
    <x v="232"/>
    <x v="0"/>
    <x v="0"/>
    <x v="2"/>
    <x v="0"/>
    <x v="0"/>
    <x v="0"/>
    <x v="0"/>
    <x v="10"/>
    <x v="12"/>
  </r>
  <r>
    <x v="234"/>
    <x v="224"/>
    <x v="2"/>
    <x v="233"/>
    <x v="1"/>
    <x v="2"/>
    <x v="0"/>
    <x v="1"/>
    <x v="1"/>
    <x v="0"/>
    <x v="0"/>
    <x v="2"/>
    <x v="2"/>
  </r>
  <r>
    <x v="235"/>
    <x v="225"/>
    <x v="1"/>
    <x v="234"/>
    <x v="0"/>
    <x v="1"/>
    <x v="1"/>
    <x v="1"/>
    <x v="1"/>
    <x v="1"/>
    <x v="1"/>
    <x v="1"/>
    <x v="1"/>
  </r>
  <r>
    <x v="236"/>
    <x v="226"/>
    <x v="0"/>
    <x v="235"/>
    <x v="1"/>
    <x v="0"/>
    <x v="0"/>
    <x v="0"/>
    <x v="0"/>
    <x v="0"/>
    <x v="0"/>
    <x v="6"/>
    <x v="14"/>
  </r>
  <r>
    <x v="237"/>
    <x v="227"/>
    <x v="2"/>
    <x v="236"/>
    <x v="0"/>
    <x v="2"/>
    <x v="2"/>
    <x v="1"/>
    <x v="1"/>
    <x v="0"/>
    <x v="0"/>
    <x v="9"/>
    <x v="10"/>
  </r>
  <r>
    <x v="238"/>
    <x v="228"/>
    <x v="1"/>
    <x v="237"/>
    <x v="1"/>
    <x v="1"/>
    <x v="0"/>
    <x v="1"/>
    <x v="1"/>
    <x v="1"/>
    <x v="1"/>
    <x v="5"/>
    <x v="11"/>
  </r>
  <r>
    <x v="239"/>
    <x v="229"/>
    <x v="0"/>
    <x v="238"/>
    <x v="0"/>
    <x v="0"/>
    <x v="1"/>
    <x v="0"/>
    <x v="0"/>
    <x v="0"/>
    <x v="0"/>
    <x v="0"/>
    <x v="0"/>
  </r>
  <r>
    <x v="240"/>
    <x v="230"/>
    <x v="2"/>
    <x v="239"/>
    <x v="1"/>
    <x v="2"/>
    <x v="0"/>
    <x v="1"/>
    <x v="1"/>
    <x v="0"/>
    <x v="0"/>
    <x v="2"/>
    <x v="2"/>
  </r>
  <r>
    <x v="241"/>
    <x v="231"/>
    <x v="1"/>
    <x v="240"/>
    <x v="0"/>
    <x v="1"/>
    <x v="2"/>
    <x v="1"/>
    <x v="1"/>
    <x v="1"/>
    <x v="1"/>
    <x v="1"/>
    <x v="1"/>
  </r>
  <r>
    <x v="242"/>
    <x v="140"/>
    <x v="0"/>
    <x v="241"/>
    <x v="1"/>
    <x v="0"/>
    <x v="0"/>
    <x v="0"/>
    <x v="0"/>
    <x v="0"/>
    <x v="0"/>
    <x v="3"/>
    <x v="3"/>
  </r>
  <r>
    <x v="243"/>
    <x v="232"/>
    <x v="2"/>
    <x v="242"/>
    <x v="0"/>
    <x v="2"/>
    <x v="1"/>
    <x v="1"/>
    <x v="1"/>
    <x v="0"/>
    <x v="0"/>
    <x v="6"/>
    <x v="7"/>
  </r>
  <r>
    <x v="244"/>
    <x v="233"/>
    <x v="1"/>
    <x v="243"/>
    <x v="1"/>
    <x v="1"/>
    <x v="0"/>
    <x v="1"/>
    <x v="1"/>
    <x v="1"/>
    <x v="1"/>
    <x v="4"/>
    <x v="4"/>
  </r>
  <r>
    <x v="245"/>
    <x v="234"/>
    <x v="0"/>
    <x v="244"/>
    <x v="0"/>
    <x v="0"/>
    <x v="2"/>
    <x v="0"/>
    <x v="0"/>
    <x v="0"/>
    <x v="0"/>
    <x v="10"/>
    <x v="12"/>
  </r>
  <r>
    <x v="246"/>
    <x v="235"/>
    <x v="2"/>
    <x v="245"/>
    <x v="1"/>
    <x v="2"/>
    <x v="0"/>
    <x v="1"/>
    <x v="1"/>
    <x v="0"/>
    <x v="0"/>
    <x v="2"/>
    <x v="2"/>
  </r>
  <r>
    <x v="247"/>
    <x v="236"/>
    <x v="1"/>
    <x v="246"/>
    <x v="0"/>
    <x v="1"/>
    <x v="1"/>
    <x v="1"/>
    <x v="1"/>
    <x v="1"/>
    <x v="1"/>
    <x v="1"/>
    <x v="1"/>
  </r>
  <r>
    <x v="248"/>
    <x v="237"/>
    <x v="0"/>
    <x v="247"/>
    <x v="1"/>
    <x v="0"/>
    <x v="0"/>
    <x v="0"/>
    <x v="0"/>
    <x v="0"/>
    <x v="0"/>
    <x v="7"/>
    <x v="8"/>
  </r>
  <r>
    <x v="249"/>
    <x v="238"/>
    <x v="2"/>
    <x v="248"/>
    <x v="0"/>
    <x v="2"/>
    <x v="2"/>
    <x v="1"/>
    <x v="1"/>
    <x v="0"/>
    <x v="0"/>
    <x v="6"/>
    <x v="7"/>
  </r>
  <r>
    <x v="250"/>
    <x v="239"/>
    <x v="1"/>
    <x v="249"/>
    <x v="1"/>
    <x v="1"/>
    <x v="0"/>
    <x v="1"/>
    <x v="1"/>
    <x v="1"/>
    <x v="1"/>
    <x v="4"/>
    <x v="4"/>
  </r>
  <r>
    <x v="251"/>
    <x v="240"/>
    <x v="0"/>
    <x v="250"/>
    <x v="0"/>
    <x v="0"/>
    <x v="1"/>
    <x v="0"/>
    <x v="0"/>
    <x v="0"/>
    <x v="0"/>
    <x v="3"/>
    <x v="3"/>
  </r>
  <r>
    <x v="252"/>
    <x v="241"/>
    <x v="2"/>
    <x v="251"/>
    <x v="1"/>
    <x v="2"/>
    <x v="0"/>
    <x v="1"/>
    <x v="1"/>
    <x v="0"/>
    <x v="0"/>
    <x v="2"/>
    <x v="2"/>
  </r>
  <r>
    <x v="253"/>
    <x v="242"/>
    <x v="1"/>
    <x v="252"/>
    <x v="0"/>
    <x v="1"/>
    <x v="2"/>
    <x v="1"/>
    <x v="1"/>
    <x v="1"/>
    <x v="1"/>
    <x v="1"/>
    <x v="1"/>
  </r>
  <r>
    <x v="254"/>
    <x v="243"/>
    <x v="0"/>
    <x v="253"/>
    <x v="1"/>
    <x v="0"/>
    <x v="0"/>
    <x v="0"/>
    <x v="0"/>
    <x v="0"/>
    <x v="0"/>
    <x v="6"/>
    <x v="14"/>
  </r>
  <r>
    <x v="255"/>
    <x v="244"/>
    <x v="1"/>
    <x v="254"/>
    <x v="0"/>
    <x v="1"/>
    <x v="0"/>
    <x v="1"/>
    <x v="1"/>
    <x v="1"/>
    <x v="1"/>
    <x v="1"/>
    <x v="1"/>
  </r>
  <r>
    <x v="256"/>
    <x v="245"/>
    <x v="0"/>
    <x v="255"/>
    <x v="1"/>
    <x v="0"/>
    <x v="2"/>
    <x v="0"/>
    <x v="0"/>
    <x v="0"/>
    <x v="0"/>
    <x v="10"/>
    <x v="12"/>
  </r>
  <r>
    <x v="257"/>
    <x v="246"/>
    <x v="2"/>
    <x v="256"/>
    <x v="0"/>
    <x v="2"/>
    <x v="1"/>
    <x v="1"/>
    <x v="1"/>
    <x v="0"/>
    <x v="0"/>
    <x v="2"/>
    <x v="2"/>
  </r>
  <r>
    <x v="258"/>
    <x v="247"/>
    <x v="1"/>
    <x v="257"/>
    <x v="1"/>
    <x v="1"/>
    <x v="2"/>
    <x v="1"/>
    <x v="1"/>
    <x v="1"/>
    <x v="1"/>
    <x v="4"/>
    <x v="4"/>
  </r>
  <r>
    <x v="259"/>
    <x v="248"/>
    <x v="0"/>
    <x v="258"/>
    <x v="0"/>
    <x v="0"/>
    <x v="0"/>
    <x v="0"/>
    <x v="0"/>
    <x v="0"/>
    <x v="0"/>
    <x v="6"/>
    <x v="14"/>
  </r>
  <r>
    <x v="260"/>
    <x v="249"/>
    <x v="2"/>
    <x v="259"/>
    <x v="1"/>
    <x v="2"/>
    <x v="0"/>
    <x v="1"/>
    <x v="1"/>
    <x v="0"/>
    <x v="0"/>
    <x v="0"/>
    <x v="13"/>
  </r>
  <r>
    <x v="261"/>
    <x v="250"/>
    <x v="1"/>
    <x v="260"/>
    <x v="0"/>
    <x v="1"/>
    <x v="1"/>
    <x v="1"/>
    <x v="1"/>
    <x v="1"/>
    <x v="1"/>
    <x v="1"/>
    <x v="1"/>
  </r>
  <r>
    <x v="262"/>
    <x v="251"/>
    <x v="0"/>
    <x v="261"/>
    <x v="1"/>
    <x v="0"/>
    <x v="2"/>
    <x v="0"/>
    <x v="0"/>
    <x v="0"/>
    <x v="0"/>
    <x v="7"/>
    <x v="8"/>
  </r>
  <r>
    <x v="263"/>
    <x v="252"/>
    <x v="2"/>
    <x v="262"/>
    <x v="0"/>
    <x v="2"/>
    <x v="2"/>
    <x v="1"/>
    <x v="1"/>
    <x v="0"/>
    <x v="0"/>
    <x v="9"/>
    <x v="10"/>
  </r>
  <r>
    <x v="264"/>
    <x v="253"/>
    <x v="1"/>
    <x v="263"/>
    <x v="1"/>
    <x v="1"/>
    <x v="0"/>
    <x v="1"/>
    <x v="1"/>
    <x v="1"/>
    <x v="1"/>
    <x v="5"/>
    <x v="11"/>
  </r>
  <r>
    <x v="265"/>
    <x v="254"/>
    <x v="0"/>
    <x v="264"/>
    <x v="0"/>
    <x v="0"/>
    <x v="1"/>
    <x v="0"/>
    <x v="0"/>
    <x v="0"/>
    <x v="0"/>
    <x v="0"/>
    <x v="0"/>
  </r>
  <r>
    <x v="266"/>
    <x v="255"/>
    <x v="2"/>
    <x v="265"/>
    <x v="1"/>
    <x v="2"/>
    <x v="0"/>
    <x v="1"/>
    <x v="1"/>
    <x v="0"/>
    <x v="0"/>
    <x v="2"/>
    <x v="2"/>
  </r>
  <r>
    <x v="267"/>
    <x v="256"/>
    <x v="1"/>
    <x v="266"/>
    <x v="0"/>
    <x v="1"/>
    <x v="2"/>
    <x v="1"/>
    <x v="1"/>
    <x v="1"/>
    <x v="1"/>
    <x v="1"/>
    <x v="1"/>
  </r>
  <r>
    <x v="268"/>
    <x v="257"/>
    <x v="0"/>
    <x v="267"/>
    <x v="1"/>
    <x v="0"/>
    <x v="0"/>
    <x v="0"/>
    <x v="0"/>
    <x v="0"/>
    <x v="0"/>
    <x v="3"/>
    <x v="3"/>
  </r>
  <r>
    <x v="269"/>
    <x v="258"/>
    <x v="2"/>
    <x v="268"/>
    <x v="0"/>
    <x v="2"/>
    <x v="1"/>
    <x v="1"/>
    <x v="1"/>
    <x v="0"/>
    <x v="0"/>
    <x v="6"/>
    <x v="7"/>
  </r>
  <r>
    <x v="270"/>
    <x v="259"/>
    <x v="1"/>
    <x v="269"/>
    <x v="1"/>
    <x v="1"/>
    <x v="0"/>
    <x v="1"/>
    <x v="1"/>
    <x v="1"/>
    <x v="1"/>
    <x v="4"/>
    <x v="4"/>
  </r>
  <r>
    <x v="271"/>
    <x v="260"/>
    <x v="0"/>
    <x v="270"/>
    <x v="0"/>
    <x v="0"/>
    <x v="2"/>
    <x v="0"/>
    <x v="0"/>
    <x v="0"/>
    <x v="0"/>
    <x v="10"/>
    <x v="12"/>
  </r>
  <r>
    <x v="272"/>
    <x v="119"/>
    <x v="2"/>
    <x v="271"/>
    <x v="1"/>
    <x v="2"/>
    <x v="0"/>
    <x v="1"/>
    <x v="1"/>
    <x v="0"/>
    <x v="0"/>
    <x v="2"/>
    <x v="2"/>
  </r>
  <r>
    <x v="273"/>
    <x v="261"/>
    <x v="1"/>
    <x v="272"/>
    <x v="0"/>
    <x v="1"/>
    <x v="1"/>
    <x v="1"/>
    <x v="1"/>
    <x v="1"/>
    <x v="1"/>
    <x v="1"/>
    <x v="1"/>
  </r>
  <r>
    <x v="274"/>
    <x v="262"/>
    <x v="0"/>
    <x v="273"/>
    <x v="1"/>
    <x v="0"/>
    <x v="0"/>
    <x v="0"/>
    <x v="0"/>
    <x v="0"/>
    <x v="0"/>
    <x v="7"/>
    <x v="8"/>
  </r>
  <r>
    <x v="275"/>
    <x v="263"/>
    <x v="2"/>
    <x v="274"/>
    <x v="0"/>
    <x v="2"/>
    <x v="2"/>
    <x v="1"/>
    <x v="1"/>
    <x v="0"/>
    <x v="0"/>
    <x v="6"/>
    <x v="7"/>
  </r>
  <r>
    <x v="276"/>
    <x v="264"/>
    <x v="1"/>
    <x v="275"/>
    <x v="1"/>
    <x v="1"/>
    <x v="0"/>
    <x v="1"/>
    <x v="1"/>
    <x v="1"/>
    <x v="1"/>
    <x v="4"/>
    <x v="4"/>
  </r>
  <r>
    <x v="277"/>
    <x v="265"/>
    <x v="0"/>
    <x v="276"/>
    <x v="0"/>
    <x v="0"/>
    <x v="1"/>
    <x v="0"/>
    <x v="0"/>
    <x v="0"/>
    <x v="0"/>
    <x v="3"/>
    <x v="3"/>
  </r>
  <r>
    <x v="278"/>
    <x v="266"/>
    <x v="2"/>
    <x v="277"/>
    <x v="1"/>
    <x v="2"/>
    <x v="0"/>
    <x v="1"/>
    <x v="1"/>
    <x v="0"/>
    <x v="0"/>
    <x v="2"/>
    <x v="2"/>
  </r>
  <r>
    <x v="279"/>
    <x v="267"/>
    <x v="1"/>
    <x v="278"/>
    <x v="0"/>
    <x v="1"/>
    <x v="2"/>
    <x v="1"/>
    <x v="1"/>
    <x v="1"/>
    <x v="1"/>
    <x v="1"/>
    <x v="1"/>
  </r>
  <r>
    <x v="280"/>
    <x v="268"/>
    <x v="0"/>
    <x v="279"/>
    <x v="1"/>
    <x v="0"/>
    <x v="0"/>
    <x v="0"/>
    <x v="0"/>
    <x v="0"/>
    <x v="0"/>
    <x v="6"/>
    <x v="14"/>
  </r>
  <r>
    <x v="281"/>
    <x v="269"/>
    <x v="2"/>
    <x v="280"/>
    <x v="0"/>
    <x v="2"/>
    <x v="1"/>
    <x v="1"/>
    <x v="1"/>
    <x v="0"/>
    <x v="0"/>
    <x v="6"/>
    <x v="7"/>
  </r>
  <r>
    <x v="282"/>
    <x v="270"/>
    <x v="1"/>
    <x v="281"/>
    <x v="1"/>
    <x v="1"/>
    <x v="0"/>
    <x v="1"/>
    <x v="1"/>
    <x v="1"/>
    <x v="1"/>
    <x v="4"/>
    <x v="4"/>
  </r>
  <r>
    <x v="283"/>
    <x v="271"/>
    <x v="0"/>
    <x v="282"/>
    <x v="0"/>
    <x v="0"/>
    <x v="2"/>
    <x v="0"/>
    <x v="0"/>
    <x v="0"/>
    <x v="0"/>
    <x v="10"/>
    <x v="12"/>
  </r>
  <r>
    <x v="284"/>
    <x v="130"/>
    <x v="2"/>
    <x v="283"/>
    <x v="1"/>
    <x v="2"/>
    <x v="0"/>
    <x v="1"/>
    <x v="1"/>
    <x v="0"/>
    <x v="0"/>
    <x v="2"/>
    <x v="2"/>
  </r>
  <r>
    <x v="285"/>
    <x v="131"/>
    <x v="1"/>
    <x v="284"/>
    <x v="0"/>
    <x v="1"/>
    <x v="1"/>
    <x v="1"/>
    <x v="1"/>
    <x v="1"/>
    <x v="1"/>
    <x v="1"/>
    <x v="1"/>
  </r>
  <r>
    <x v="286"/>
    <x v="181"/>
    <x v="0"/>
    <x v="285"/>
    <x v="1"/>
    <x v="0"/>
    <x v="0"/>
    <x v="0"/>
    <x v="0"/>
    <x v="0"/>
    <x v="0"/>
    <x v="7"/>
    <x v="8"/>
  </r>
  <r>
    <x v="287"/>
    <x v="272"/>
    <x v="2"/>
    <x v="286"/>
    <x v="0"/>
    <x v="2"/>
    <x v="2"/>
    <x v="1"/>
    <x v="1"/>
    <x v="0"/>
    <x v="0"/>
    <x v="9"/>
    <x v="10"/>
  </r>
  <r>
    <x v="288"/>
    <x v="273"/>
    <x v="1"/>
    <x v="287"/>
    <x v="1"/>
    <x v="1"/>
    <x v="0"/>
    <x v="1"/>
    <x v="1"/>
    <x v="1"/>
    <x v="1"/>
    <x v="5"/>
    <x v="11"/>
  </r>
  <r>
    <x v="289"/>
    <x v="274"/>
    <x v="0"/>
    <x v="288"/>
    <x v="0"/>
    <x v="0"/>
    <x v="1"/>
    <x v="0"/>
    <x v="0"/>
    <x v="0"/>
    <x v="0"/>
    <x v="0"/>
    <x v="0"/>
  </r>
  <r>
    <x v="290"/>
    <x v="275"/>
    <x v="2"/>
    <x v="289"/>
    <x v="1"/>
    <x v="2"/>
    <x v="0"/>
    <x v="1"/>
    <x v="1"/>
    <x v="0"/>
    <x v="0"/>
    <x v="2"/>
    <x v="2"/>
  </r>
  <r>
    <x v="291"/>
    <x v="276"/>
    <x v="1"/>
    <x v="290"/>
    <x v="0"/>
    <x v="1"/>
    <x v="2"/>
    <x v="1"/>
    <x v="1"/>
    <x v="1"/>
    <x v="1"/>
    <x v="1"/>
    <x v="1"/>
  </r>
  <r>
    <x v="292"/>
    <x v="277"/>
    <x v="0"/>
    <x v="291"/>
    <x v="1"/>
    <x v="0"/>
    <x v="0"/>
    <x v="0"/>
    <x v="0"/>
    <x v="0"/>
    <x v="0"/>
    <x v="3"/>
    <x v="3"/>
  </r>
  <r>
    <x v="293"/>
    <x v="278"/>
    <x v="2"/>
    <x v="292"/>
    <x v="0"/>
    <x v="2"/>
    <x v="1"/>
    <x v="1"/>
    <x v="1"/>
    <x v="0"/>
    <x v="0"/>
    <x v="6"/>
    <x v="7"/>
  </r>
  <r>
    <x v="294"/>
    <x v="279"/>
    <x v="1"/>
    <x v="293"/>
    <x v="1"/>
    <x v="1"/>
    <x v="0"/>
    <x v="1"/>
    <x v="1"/>
    <x v="1"/>
    <x v="1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B86:C90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EA Play Season Pass_x000a_Pric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B72:C76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sd="0" x="1"/>
        <item sd="0" x="2"/>
        <item sd="0"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numFmtId="4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B45:C46" firstHeaderRow="0" firstDataRow="1" firstDataCol="0" rowPageCount="1" colPageCount="1"/>
  <pivotFields count="14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Page" showAll="0">
      <items count="4">
        <item sd="0" x="1"/>
        <item sd="0" x="2"/>
        <item sd="0"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 sumSubtotal="1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sum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Discounted amount" fld="11" baseField="0" baseItem="0"/>
    <dataField name="Total amount to be paid" fld="1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B25:D28" firstHeaderRow="0" firstDataRow="1" firstDataCol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sd="0" x="1"/>
        <item sd="0" x="2"/>
        <item sd="0"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/>
    <pivotField dataField="1"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from Minecraft only" fld="10" baseField="0" baseItem="0"/>
    <dataField name="Total revenue" fld="12" baseField="0" baseItem="0"/>
  </dataFields>
  <chartFormats count="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3">
  <location ref="B5:C9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dataField="1" showAll="0">
      <items count="4">
        <item sd="0" x="1"/>
        <item sd="0" x="2"/>
        <item sd="0"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Plan" fld="2" subtotal="count" baseField="0" baseItem="0"/>
  </dataFields>
  <chartFormats count="9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abela dinâmica4"/>
    <pivotTable tabId="3" name="Tabela dinâmica6"/>
    <pivotTable tabId="3" name="Tabela dinâmica2"/>
    <pivotTable tabId="3" name="Tabela dinâmica3"/>
  </pivotTables>
  <data>
    <tabular pivotCacheId="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me Period" cache="SegmentaçãodeDados_Subscription_Type" caption="Time Period" style="Filtro de Busca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D38" sqref="D3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B32" sqref="B3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E90"/>
  <sheetViews>
    <sheetView topLeftCell="A19" workbookViewId="0">
      <selection activeCell="E44" sqref="E44"/>
    </sheetView>
  </sheetViews>
  <sheetFormatPr defaultRowHeight="14.25"/>
  <cols>
    <col min="2" max="2" width="18" customWidth="1"/>
    <col min="3" max="3" width="38.375" customWidth="1"/>
    <col min="4" max="4" width="13.5" customWidth="1"/>
    <col min="5" max="5" width="21.75" customWidth="1"/>
    <col min="6" max="6" width="21.75" bestFit="1" customWidth="1"/>
    <col min="7" max="8" width="21.75" customWidth="1"/>
    <col min="9" max="9" width="21.75" bestFit="1" customWidth="1"/>
    <col min="10" max="11" width="21.75" customWidth="1"/>
    <col min="12" max="31" width="21.75" bestFit="1" customWidth="1"/>
    <col min="32" max="32" width="24.25" bestFit="1" customWidth="1"/>
    <col min="33" max="33" width="26.875" bestFit="1" customWidth="1"/>
  </cols>
  <sheetData>
    <row r="3" spans="2:3">
      <c r="B3" s="12" t="s">
        <v>16</v>
      </c>
      <c r="C3" t="s">
        <v>316</v>
      </c>
    </row>
    <row r="5" spans="2:3">
      <c r="B5" s="12" t="s">
        <v>313</v>
      </c>
      <c r="C5" t="s">
        <v>315</v>
      </c>
    </row>
    <row r="6" spans="2:3">
      <c r="B6" s="13" t="s">
        <v>22</v>
      </c>
      <c r="C6" s="14">
        <v>101</v>
      </c>
    </row>
    <row r="7" spans="2:3">
      <c r="B7" s="13" t="s">
        <v>26</v>
      </c>
      <c r="C7" s="14">
        <v>96</v>
      </c>
    </row>
    <row r="8" spans="2:3">
      <c r="B8" s="13" t="s">
        <v>18</v>
      </c>
      <c r="C8" s="14">
        <v>98</v>
      </c>
    </row>
    <row r="9" spans="2:3">
      <c r="B9" s="13" t="s">
        <v>314</v>
      </c>
      <c r="C9" s="14">
        <v>295</v>
      </c>
    </row>
    <row r="25" spans="2:4">
      <c r="B25" s="12" t="s">
        <v>313</v>
      </c>
      <c r="C25" t="s">
        <v>324</v>
      </c>
      <c r="D25" t="s">
        <v>323</v>
      </c>
    </row>
    <row r="26" spans="2:4">
      <c r="B26" s="13" t="s">
        <v>23</v>
      </c>
      <c r="C26" s="14">
        <v>0</v>
      </c>
      <c r="D26" s="14">
        <v>444</v>
      </c>
    </row>
    <row r="27" spans="2:4">
      <c r="B27" s="13" t="s">
        <v>19</v>
      </c>
      <c r="C27" s="14">
        <v>3880</v>
      </c>
      <c r="D27" s="14">
        <v>7189</v>
      </c>
    </row>
    <row r="28" spans="2:4">
      <c r="B28" s="13" t="s">
        <v>314</v>
      </c>
      <c r="C28" s="14">
        <v>3880</v>
      </c>
      <c r="D28" s="14">
        <v>7633</v>
      </c>
    </row>
    <row r="43" spans="2:5">
      <c r="B43" s="12" t="s">
        <v>13</v>
      </c>
      <c r="C43" t="s">
        <v>316</v>
      </c>
    </row>
    <row r="45" spans="2:5">
      <c r="B45" t="s">
        <v>322</v>
      </c>
      <c r="C45" t="s">
        <v>321</v>
      </c>
    </row>
    <row r="46" spans="2:5">
      <c r="B46" s="14">
        <v>2122</v>
      </c>
      <c r="C46" s="14">
        <v>7633</v>
      </c>
      <c r="E46" s="22">
        <f>GETPIVOTDATA("Total amount to be paid",$B$45)+GETPIVOTDATA("Discounted amount",$B$45)</f>
        <v>9755</v>
      </c>
    </row>
    <row r="70" spans="2:5">
      <c r="B70" s="12" t="s">
        <v>16</v>
      </c>
      <c r="C70" t="s">
        <v>316</v>
      </c>
    </row>
    <row r="72" spans="2:5">
      <c r="B72" s="12" t="s">
        <v>313</v>
      </c>
      <c r="C72" t="s">
        <v>317</v>
      </c>
    </row>
    <row r="73" spans="2:5">
      <c r="B73" s="13" t="s">
        <v>22</v>
      </c>
      <c r="C73" s="14">
        <v>0</v>
      </c>
    </row>
    <row r="74" spans="2:5">
      <c r="B74" s="13" t="s">
        <v>26</v>
      </c>
      <c r="C74" s="14">
        <v>1920</v>
      </c>
    </row>
    <row r="75" spans="2:5">
      <c r="B75" s="13" t="s">
        <v>18</v>
      </c>
      <c r="C75" s="14">
        <v>1960</v>
      </c>
    </row>
    <row r="76" spans="2:5">
      <c r="B76" s="13" t="s">
        <v>314</v>
      </c>
      <c r="C76" s="14">
        <v>3880</v>
      </c>
      <c r="E76" s="22">
        <f>GETPIVOTDATA("Minecraft Season Pass Price",$B$72)</f>
        <v>3880</v>
      </c>
    </row>
    <row r="84" spans="2:5">
      <c r="B84" s="12" t="s">
        <v>16</v>
      </c>
      <c r="C84" t="s">
        <v>316</v>
      </c>
    </row>
    <row r="86" spans="2:5">
      <c r="B86" s="12" t="s">
        <v>313</v>
      </c>
      <c r="C86" t="s">
        <v>318</v>
      </c>
    </row>
    <row r="87" spans="2:5">
      <c r="B87" s="13" t="s">
        <v>22</v>
      </c>
      <c r="C87" s="14">
        <v>101</v>
      </c>
    </row>
    <row r="88" spans="2:5">
      <c r="B88" s="13" t="s">
        <v>26</v>
      </c>
      <c r="C88" s="14">
        <v>96</v>
      </c>
    </row>
    <row r="89" spans="2:5">
      <c r="B89" s="13" t="s">
        <v>18</v>
      </c>
      <c r="C89" s="14">
        <v>98</v>
      </c>
    </row>
    <row r="90" spans="2:5">
      <c r="B90" s="13" t="s">
        <v>314</v>
      </c>
      <c r="C90" s="14">
        <v>295</v>
      </c>
      <c r="E90" s="22">
        <f>GETPIVOTDATA("EA Play Season Pass
Price",$B$86)</f>
        <v>295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146"/>
  <sheetViews>
    <sheetView showGridLines="0" tabSelected="1" zoomScale="70" zoomScaleNormal="70" workbookViewId="0">
      <selection activeCell="AH24" sqref="AH24"/>
    </sheetView>
  </sheetViews>
  <sheetFormatPr defaultColWidth="8.5" defaultRowHeight="42.75" customHeight="1"/>
  <cols>
    <col min="1" max="1" width="25.5" style="4" customWidth="1"/>
    <col min="2" max="2" width="7" style="16" customWidth="1"/>
    <col min="3" max="3" width="8.5" style="15"/>
    <col min="10" max="10" width="8.5" customWidth="1"/>
    <col min="30" max="31" width="8.5" customWidth="1"/>
    <col min="33" max="33" width="8.5" customWidth="1"/>
  </cols>
  <sheetData>
    <row r="1" spans="1:30" s="16" customFormat="1" ht="87.75" customHeight="1" thickBot="1">
      <c r="A1" s="4"/>
      <c r="C1" s="17" t="s">
        <v>319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42.75" customHeight="1" thickTop="1">
      <c r="B2" s="7"/>
      <c r="C2" s="23" t="s">
        <v>320</v>
      </c>
      <c r="D2" s="7"/>
      <c r="E2" s="20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42.75" customHeight="1">
      <c r="B3" s="7"/>
      <c r="C3" s="1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42.75" customHeight="1">
      <c r="B4" s="7"/>
      <c r="C4" s="1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42.75" customHeight="1">
      <c r="B5" s="7"/>
      <c r="C5" s="1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42.75" customHeight="1">
      <c r="B6" s="7"/>
      <c r="C6" s="1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42.75" customHeight="1">
      <c r="B7" s="7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42.75" customHeight="1">
      <c r="B8" s="7"/>
      <c r="C8" s="1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42.75" customHeight="1">
      <c r="B9" s="7"/>
      <c r="C9" s="1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42.75" customHeight="1">
      <c r="B10" s="7"/>
      <c r="C10" s="1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42.75" customHeight="1">
      <c r="B11" s="7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42.75" customHeight="1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42.75" customHeight="1">
      <c r="B13" s="7"/>
      <c r="C13" s="1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42.75" customHeight="1">
      <c r="B14" s="7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42.75" customHeight="1">
      <c r="B15" s="7"/>
      <c r="C15" s="1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42.75" customHeight="1">
      <c r="B16" s="7"/>
      <c r="C16" s="1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2:30" ht="42.75" customHeight="1">
      <c r="B17" s="7"/>
      <c r="C17" s="1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2:30" ht="42.75" customHeight="1">
      <c r="B18" s="7"/>
      <c r="C18" s="1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2:30" ht="42.75" customHeight="1">
      <c r="B19" s="7"/>
      <c r="C19" s="1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2:30" ht="42.75" customHeight="1">
      <c r="B20" s="7"/>
      <c r="C20" s="1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2:30" ht="42.75" customHeight="1">
      <c r="B21" s="7"/>
      <c r="C21" s="1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2:30" ht="42.75" customHeight="1">
      <c r="B22" s="7"/>
      <c r="C22" s="1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2:30" ht="42.75" customHeight="1">
      <c r="B23" s="7"/>
      <c r="C23" s="1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2:30" ht="42.75" customHeight="1">
      <c r="B24" s="7"/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2:30" ht="42.75" customHeight="1">
      <c r="B25" s="7"/>
      <c r="C25" s="19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2:30" ht="42.75" customHeight="1">
      <c r="B26" s="7"/>
      <c r="C26" s="1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2:30" ht="42.75" customHeight="1">
      <c r="B27" s="7"/>
      <c r="C27" s="1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2:30" ht="42.75" customHeight="1">
      <c r="B28" s="7"/>
      <c r="C28" s="1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2:30" ht="42.75" customHeight="1">
      <c r="B29" s="7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2:30" ht="42.75" customHeight="1">
      <c r="B30" s="7"/>
      <c r="C30" s="19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2:30" ht="42.75" customHeight="1">
      <c r="B31" s="7"/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2:30" ht="42.75" customHeight="1">
      <c r="B32" s="7"/>
      <c r="C32" s="1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2:30" ht="42.75" customHeight="1">
      <c r="B33" s="7"/>
      <c r="C33" s="1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2:30" ht="42.75" customHeight="1">
      <c r="B34" s="7"/>
      <c r="C34" s="19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2:30" ht="42.75" customHeight="1">
      <c r="B35" s="7"/>
      <c r="C35" s="19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2:30" ht="42.75" customHeight="1">
      <c r="B36" s="7"/>
      <c r="C36" s="19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2:30" ht="42.75" customHeight="1">
      <c r="B37" s="7"/>
      <c r="C37" s="1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2:30" ht="42.75" customHeight="1">
      <c r="B38" s="7"/>
      <c r="C38" s="19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2:30" ht="42.75" customHeight="1">
      <c r="B39" s="7"/>
      <c r="C39" s="19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2:30" ht="42.75" customHeight="1">
      <c r="B40" s="7"/>
      <c r="C40" s="1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2:30" ht="42.75" customHeight="1">
      <c r="B41" s="7"/>
      <c r="C41" s="1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2:30" ht="42.75" customHeight="1">
      <c r="B42" s="7"/>
      <c r="C42" s="19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2:30" ht="42.75" customHeight="1">
      <c r="B43" s="7"/>
      <c r="C43" s="19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2:30" ht="42.75" customHeight="1">
      <c r="B44" s="7"/>
      <c r="C44" s="19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2:30" ht="42.75" customHeight="1">
      <c r="B45" s="7"/>
      <c r="C45" s="19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2:30" ht="42.75" customHeight="1">
      <c r="B46" s="7"/>
      <c r="C46" s="1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2:30" ht="42.75" customHeight="1">
      <c r="B47" s="7"/>
      <c r="C47" s="19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2:30" ht="42.75" customHeight="1">
      <c r="B48" s="7"/>
      <c r="C48" s="19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2:30" ht="42.75" customHeight="1">
      <c r="B49" s="7"/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2:30" ht="42.75" customHeight="1">
      <c r="B50" s="7"/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2:30" ht="42.75" customHeight="1">
      <c r="B51" s="7"/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2:30" ht="42.75" customHeight="1">
      <c r="B52" s="7"/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2:30" ht="42.75" customHeight="1">
      <c r="B53" s="7"/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2:30" ht="42.75" customHeight="1">
      <c r="B54" s="7"/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2:30" ht="42.75" customHeight="1">
      <c r="B55" s="7"/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2:30" ht="42.75" customHeight="1">
      <c r="B56" s="7"/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2:30" ht="42.75" customHeight="1">
      <c r="B57" s="7"/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2:30" ht="42.75" customHeight="1">
      <c r="B58" s="7"/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2:30" ht="42.75" customHeight="1">
      <c r="B59" s="7"/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2:30" ht="42.75" customHeight="1">
      <c r="B60" s="7"/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2:30" ht="42.75" customHeight="1">
      <c r="B61" s="7"/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2:30" ht="42.75" customHeight="1">
      <c r="B62" s="7"/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2:30" ht="42.75" customHeight="1">
      <c r="B63" s="7"/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2:30" ht="42.75" customHeight="1">
      <c r="B64" s="7"/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2:30" ht="42.75" customHeight="1">
      <c r="B65" s="7"/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2:30" ht="42.75" customHeight="1">
      <c r="B66" s="7"/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2:30" ht="42.75" customHeight="1">
      <c r="B67" s="7"/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2:30" ht="42.75" customHeight="1">
      <c r="B68" s="7"/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2:30" ht="42.75" customHeight="1">
      <c r="B69" s="7"/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2:30" ht="42.75" customHeight="1">
      <c r="B70" s="7"/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2:30" ht="42.75" customHeight="1">
      <c r="B71" s="7"/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2:30" ht="42.75" customHeight="1">
      <c r="B72" s="7"/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2:30" ht="42.75" customHeight="1">
      <c r="B73" s="7"/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2:30" ht="42.75" customHeight="1">
      <c r="B74" s="7"/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2:30" ht="42.75" customHeight="1">
      <c r="B75" s="7"/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2:30" ht="42.75" customHeight="1">
      <c r="B76" s="7"/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2:30" ht="42.75" customHeight="1">
      <c r="B77" s="7"/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2:30" ht="42.75" customHeight="1">
      <c r="B78" s="7"/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2:30" ht="42.75" customHeight="1">
      <c r="B79" s="7"/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2:30" ht="42.75" customHeight="1">
      <c r="B80" s="7"/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2:30" ht="42.75" customHeight="1">
      <c r="B81" s="7"/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2:30" ht="42.75" customHeight="1">
      <c r="B82" s="7"/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2:30" ht="42.75" customHeight="1">
      <c r="B83" s="7"/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2:30" ht="42.75" customHeight="1">
      <c r="B84" s="7"/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2:30" ht="42.75" customHeight="1">
      <c r="B85" s="7"/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2:30" ht="42.75" customHeight="1">
      <c r="B86" s="7"/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2:30" ht="42.75" customHeight="1">
      <c r="B87" s="7"/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2:30" ht="42.75" customHeight="1">
      <c r="B88" s="7"/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2:30" ht="42.75" customHeight="1">
      <c r="B89" s="7"/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2:30" ht="42.75" customHeight="1">
      <c r="B90" s="7"/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2:30" ht="42.75" customHeight="1">
      <c r="B91" s="7"/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2:30" ht="42.75" customHeight="1">
      <c r="B92" s="7"/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2:30" ht="42.75" customHeight="1">
      <c r="B93" s="7"/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2:30" ht="42.75" customHeight="1">
      <c r="B94" s="7"/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2:30" ht="42.75" customHeight="1">
      <c r="B95" s="7"/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2:30" ht="42.75" customHeight="1">
      <c r="B96" s="7"/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2:30" ht="42.75" customHeight="1">
      <c r="B97" s="7"/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2:30" ht="42.75" customHeight="1">
      <c r="B98" s="7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2:30" ht="42.75" customHeight="1">
      <c r="B99" s="7"/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2:30" ht="42.75" customHeight="1">
      <c r="B100" s="7"/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2:30" ht="42.75" customHeight="1">
      <c r="B101" s="7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2:30" ht="42.75" customHeight="1">
      <c r="B102" s="7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2:30" ht="42.75" customHeight="1">
      <c r="B103" s="7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2:30" ht="42.75" customHeight="1">
      <c r="B104" s="7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2:30" ht="42.75" customHeight="1">
      <c r="B105" s="7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2:30" ht="42.75" customHeight="1">
      <c r="B106" s="7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2:30" ht="42.75" customHeight="1">
      <c r="B107" s="7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2:30" ht="42.75" customHeight="1">
      <c r="B108" s="7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2:30" ht="42.75" customHeight="1">
      <c r="B109" s="7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2:30" ht="42.75" customHeight="1">
      <c r="B110" s="7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2:30" ht="42.75" customHeight="1">
      <c r="B111" s="7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2:30" ht="42.75" customHeight="1">
      <c r="B112" s="7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2:30" ht="42.75" customHeight="1">
      <c r="B113" s="7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2:30" ht="42.75" customHeight="1">
      <c r="B114" s="7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2:30" ht="42.75" customHeight="1">
      <c r="B115" s="7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2:30" ht="42.75" customHeight="1">
      <c r="B116" s="7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2:30" ht="42.75" customHeight="1">
      <c r="B117" s="7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2:30" ht="42.75" customHeight="1">
      <c r="B118" s="7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2:30" ht="42.75" customHeight="1">
      <c r="B119" s="7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2:30" ht="42.75" customHeight="1">
      <c r="B120" s="7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2:30" ht="42.75" customHeight="1">
      <c r="B121" s="7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2:30" ht="42.75" customHeight="1">
      <c r="B122" s="7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2:30" ht="42.75" customHeight="1">
      <c r="B123" s="7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2:30" ht="42.75" customHeight="1">
      <c r="B124" s="7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2:30" ht="42.75" customHeight="1">
      <c r="B125" s="7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2:30" ht="42.75" customHeight="1">
      <c r="B126" s="7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2:30" ht="42.75" customHeight="1">
      <c r="B127" s="7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2:30" ht="42.75" customHeight="1">
      <c r="B128" s="7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2:30" ht="42.75" customHeight="1">
      <c r="B129" s="7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2:30" ht="42.75" customHeight="1">
      <c r="B130" s="7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2:30" ht="42.75" customHeight="1">
      <c r="B131" s="7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2:30" ht="42.75" customHeight="1">
      <c r="B132" s="7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2:30" ht="42.75" customHeight="1">
      <c r="B133" s="7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2:30" ht="42.75" customHeight="1">
      <c r="B134" s="7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2:30" ht="42.75" customHeight="1">
      <c r="B135" s="7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2:30" ht="42.75" customHeight="1">
      <c r="B136" s="7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2:30" ht="42.75" customHeight="1">
      <c r="B137" s="7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2:30" ht="42.75" customHeight="1">
      <c r="B138" s="7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2:30" ht="42.75" customHeight="1">
      <c r="B139" s="7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2:30" ht="42.75" customHeight="1">
      <c r="B140" s="7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2:30" ht="42.75" customHeight="1">
      <c r="B141" s="7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2:30" ht="42.75" customHeight="1">
      <c r="B142" s="7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2:30" ht="42.75" customHeight="1">
      <c r="B143" s="7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2:30" ht="42.75" customHeight="1">
      <c r="B144" s="7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2:30" ht="42.75" customHeight="1">
      <c r="B145" s="7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2:30" ht="42.75" customHeight="1">
      <c r="B146" s="7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openxmlformats.org/package/2006/metadata/core-properties"/>
    <ds:schemaRef ds:uri="19483571-f922-4e8e-9c1c-26f0a2252132"/>
    <ds:schemaRef ds:uri="http://schemas.microsoft.com/office/infopath/2007/PartnerControls"/>
    <ds:schemaRef ds:uri="http://purl.org/dc/dcmitype/"/>
    <ds:schemaRef ds:uri="http://purl.org/dc/elements/1.1/"/>
    <ds:schemaRef ds:uri="851b35d3-0456-4d6a-bc2f-da927e91d158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USUARIO</cp:lastModifiedBy>
  <dcterms:created xsi:type="dcterms:W3CDTF">2024-12-19T13:13:10Z</dcterms:created>
  <dcterms:modified xsi:type="dcterms:W3CDTF">2026-01-14T17:10:03Z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